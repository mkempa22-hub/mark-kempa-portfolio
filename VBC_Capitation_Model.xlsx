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A. Full Cap" sheetId="3" state="visible" r:id="rId5"/>
    <sheet name="B. Two-Sided" sheetId="4" state="visible" r:id="rId6"/>
    <sheet name="C. Upside" sheetId="5" state="visible" r:id="rId7"/>
    <sheet name="D. REACH" sheetId="6" state="visible" r:id="rId8"/>
    <sheet name="P&amp;L (Monthly)" sheetId="7" state="visible" r:id="rId9"/>
    <sheet name="Cash Flow" sheetId="8" state="visible" r:id="rId10"/>
    <sheet name="3-Yr &amp; Cohorts" sheetId="9" state="visible" r:id="rId11"/>
    <sheet name="KPIs" sheetId="10" state="visible" r:id="rId12"/>
    <sheet name="A · Cash Structur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<sst xmlns="http://schemas.openxmlformats.org/spreadsheetml/2006/main" count="442" uniqueCount="247">
  <si>
    <t xml:space="preserve">Value-Based Primary Care — Capitation Financial Model</t>
  </si>
  <si>
    <t xml:space="preserve">Greenbrook-scale · ~$60M revenue · 4 clinics · ~4,500 members · 4 MA / Medicare payors</t>
  </si>
  <si>
    <t xml:space="preserve">PURPOSE</t>
  </si>
  <si>
    <t xml:space="preserve">Demonstrates how a senior-focused primary care clinic earns and bears risk across four</t>
  </si>
  <si>
    <t xml:space="preserve">different value-based contract structures simultaneously, and how the two core profit</t>
  </si>
  <si>
    <t xml:space="preserve">levers — RISK SCORE (RAF) capture and TOTAL COST OF CARE (TCOC) management — drive</t>
  </si>
  <si>
    <t xml:space="preserve">the medical margin and the cohort J-curve as a panel matures.</t>
  </si>
  <si>
    <t xml:space="preserve">THE FOUR CONTRACTS</t>
  </si>
  <si>
    <t xml:space="preserve">A · Full / Global Capitation</t>
  </si>
  <si>
    <t xml:space="preserve">100% TCOC risk. Revenue = % of risk-adjusted premium. Provider pays claims; keeps surplus, bears deficit. Stop-loss protection.</t>
  </si>
  <si>
    <t xml:space="preserve">B · Two-Sided Shared Risk</t>
  </si>
  <si>
    <t xml:space="preserve">Care-management PMPM + 50/50 share of savings/losses vs a TCOC target. Plan pays claims; provider settles the shared portion.</t>
  </si>
  <si>
    <t xml:space="preserve">C · Upside-Only Shared Savings</t>
  </si>
  <si>
    <t xml:space="preserve">FFS for own services + 60% of savings vs benchmark, no downside. A revenue floor with capped upside.</t>
  </si>
  <si>
    <t xml:space="preserve">D · ACO REACH (Professional)</t>
  </si>
  <si>
    <t xml:space="preserve">Traditional Medicare. Primary Care Capitation Payment + 50/50 savings/losses vs a risk-adjusted benchmark.</t>
  </si>
  <si>
    <t xml:space="preserve">TABS</t>
  </si>
  <si>
    <t xml:space="preserve">Assumptions</t>
  </si>
  <si>
    <t xml:space="preserve">All inputs &amp; levers (blue). Edit here to flex scenarios.</t>
  </si>
  <si>
    <t xml:space="preserve">A·FullCap / B·TwoSided / C·Upside / D·REACH</t>
  </si>
  <si>
    <t xml:space="preserve">Per-contract monthly economics (Year 1).</t>
  </si>
  <si>
    <t xml:space="preserve">P&amp;L (Monthly)</t>
  </si>
  <si>
    <t xml:space="preserve">Consolidated Year-1 monthly P&amp;L to EBITDA.</t>
  </si>
  <si>
    <t xml:space="preserve">Cash Flow</t>
  </si>
  <si>
    <t xml:space="preserve">Full-cap cash dynamics: cap received vs claims paid in arrears + IBNR build.</t>
  </si>
  <si>
    <t xml:space="preserve">3-Yr &amp; Cohorts</t>
  </si>
  <si>
    <t xml:space="preserve">Annual summary + cohort J-curve showing RAF &amp; TCOC levers maturing.</t>
  </si>
  <si>
    <t xml:space="preserve">KPIs</t>
  </si>
  <si>
    <t xml:space="preserve">Dashboard: MLR, medical margin PMPM, utilization by contract.</t>
  </si>
  <si>
    <t xml:space="preserve">COLOR KEY</t>
  </si>
  <si>
    <t xml:space="preserve">Blue = input/assumption</t>
  </si>
  <si>
    <t xml:space="preserve">Black = formula</t>
  </si>
  <si>
    <t xml:space="preserve">Green = cross-sheet link</t>
  </si>
  <si>
    <t xml:space="preserve">Illustrative model. Assumptions are synthetic and directional, not Greenbrook actuals.</t>
  </si>
  <si>
    <t xml:space="preserve">ASSUMPTIONS &amp; LEVERS</t>
  </si>
  <si>
    <t xml:space="preserve">GLOBAL</t>
  </si>
  <si>
    <t xml:space="preserve">Model start year</t>
  </si>
  <si>
    <t xml:space="preserve">Annual medical cost trend</t>
  </si>
  <si>
    <t xml:space="preserve">Annual premium / benchmark trend</t>
  </si>
  <si>
    <t xml:space="preserve">IBNR accrual (% of monthly medical cost)</t>
  </si>
  <si>
    <t xml:space="preserve">Claims payment lag (months)</t>
  </si>
  <si>
    <t xml:space="preserve">New-clinic TCOC factor — Month 1</t>
  </si>
  <si>
    <t xml:space="preserve">New-clinic TCOC factor — Month 12</t>
  </si>
  <si>
    <t xml:space="preserve">Inpatient admits / 1,000 (mature)</t>
  </si>
  <si>
    <t xml:space="preserve">CLINIC OPERATING COSTS</t>
  </si>
  <si>
    <t xml:space="preserve">Fixed clinic opex / month ($)</t>
  </si>
  <si>
    <t xml:space="preserve">Care management — variable PMPM ($)</t>
  </si>
  <si>
    <t xml:space="preserve">G&amp;A / corporate / month ($)</t>
  </si>
  <si>
    <t xml:space="preserve">TCOC BUCKET MIX  (% of total medical spend)</t>
  </si>
  <si>
    <t xml:space="preserve">Inpatient</t>
  </si>
  <si>
    <t xml:space="preserve">Outpatient / ED</t>
  </si>
  <si>
    <t xml:space="preserve">Specialist professional</t>
  </si>
  <si>
    <t xml:space="preserve">Primary care (internal)</t>
  </si>
  <si>
    <t xml:space="preserve">Post-acute / SNF</t>
  </si>
  <si>
    <t xml:space="preserve">Pharmacy (Part D)</t>
  </si>
  <si>
    <t xml:space="preserve">Ancillary (lab / imaging / DME)</t>
  </si>
  <si>
    <t xml:space="preserve">Other</t>
  </si>
  <si>
    <t xml:space="preserve">Total</t>
  </si>
  <si>
    <t xml:space="preserve">CONTRACT TERMS</t>
  </si>
  <si>
    <t xml:space="preserve">Metric</t>
  </si>
  <si>
    <t xml:space="preserve">A · Full Cap</t>
  </si>
  <si>
    <t xml:space="preserve">B · Two-Sided</t>
  </si>
  <si>
    <t xml:space="preserve">C · Upside-Only</t>
  </si>
  <si>
    <t xml:space="preserve">D · ACO REACH</t>
  </si>
  <si>
    <t xml:space="preserve">Population / payor</t>
  </si>
  <si>
    <t xml:space="preserve">MA — Payor A</t>
  </si>
  <si>
    <t xml:space="preserve">MA — Payor B</t>
  </si>
  <si>
    <t xml:space="preserve">MA — Payor C</t>
  </si>
  <si>
    <t xml:space="preserve">Traditional Medicare</t>
  </si>
  <si>
    <t xml:space="preserve">Risk model</t>
  </si>
  <si>
    <t xml:space="preserve">Full global cap</t>
  </si>
  <si>
    <t xml:space="preserve">Two-sided shared</t>
  </si>
  <si>
    <t xml:space="preserve">Upside-only</t>
  </si>
  <si>
    <t xml:space="preserve">REACH Professional</t>
  </si>
  <si>
    <t xml:space="preserve">Full-cap flag (1=yes)</t>
  </si>
  <si>
    <t xml:space="preserve">Starting members (Month 1)</t>
  </si>
  <si>
    <t xml:space="preserve">Monthly member growth</t>
  </si>
  <si>
    <t xml:space="preserve">Mature RAF (risk score)</t>
  </si>
  <si>
    <t xml:space="preserve">Premium / benchmark PMPM ($)</t>
  </si>
  <si>
    <t xml:space="preserve">Provider cap % of premium</t>
  </si>
  <si>
    <t xml:space="preserve">Care management PMPM ($)</t>
  </si>
  <si>
    <t xml:space="preserve">Primary care cap PMPM ($)</t>
  </si>
  <si>
    <t xml:space="preserve">FFS own-services PMPM ($)</t>
  </si>
  <si>
    <t xml:space="preserve">TCOC target / benchmark (% of prem)</t>
  </si>
  <si>
    <t xml:space="preserve">Provider savings split</t>
  </si>
  <si>
    <t xml:space="preserve">Provider loss split</t>
  </si>
  <si>
    <t xml:space="preserve">Downside risk (1=yes)</t>
  </si>
  <si>
    <t xml:space="preserve">Mature TCOC PMPM ($)</t>
  </si>
  <si>
    <t xml:space="preserve">Stop-loss premium PMPM ($)</t>
  </si>
  <si>
    <t xml:space="preserve">Stop-loss recoveries PMPM ($)</t>
  </si>
  <si>
    <t xml:space="preserve">COHORT / J-CURVE  (by member tenure)</t>
  </si>
  <si>
    <t xml:space="preserve">Tenure</t>
  </si>
  <si>
    <t xml:space="preserve">RAF factor (× mature)</t>
  </si>
  <si>
    <t xml:space="preserve">TCOC factor (× mature)</t>
  </si>
  <si>
    <t xml:space="preserve">Year 1 (new)</t>
  </si>
  <si>
    <t xml:space="preserve">Year 2</t>
  </si>
  <si>
    <t xml:space="preserve">Year 3+ (mature)</t>
  </si>
  <si>
    <t xml:space="preserve">MULTI-YEAR ENROLLMENT (clinic cohorts)</t>
  </si>
  <si>
    <t xml:space="preserve">Year 1</t>
  </si>
  <si>
    <t xml:space="preserve">Year 3</t>
  </si>
  <si>
    <t xml:space="preserve">New members enrolled (cohort)</t>
  </si>
  <si>
    <t xml:space="preserve">Annual retention</t>
  </si>
  <si>
    <t xml:space="preserve">CONTRACT A — Full / Global Capitation (100% TCOC risk)</t>
  </si>
  <si>
    <t xml:space="preserve">($ unless noted)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</si>
  <si>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</si>
  <si>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</si>
  <si>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</si>
  <si>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</si>
  <si>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</si>
  <si>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</si>
  <si>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</si>
  <si>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</si>
  <si>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</si>
  <si>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</si>
  <si>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</si>
  <si>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</si>
  <si>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MEMBERSHIP</t>
  </si>
  <si>
    <t xml:space="preserve">Members — beginning</t>
  </si>
  <si>
    <t xml:space="preserve">Members — ending</t>
  </si>
  <si>
    <t xml:space="preserve">Member-months (avg)</t>
  </si>
  <si>
    <t xml:space="preserve">LEVERS — RISK &amp; TCOC</t>
  </si>
  <si>
    <t xml:space="preserve">RAF (risk score, Yr-1 cohort)</t>
  </si>
  <si>
    <t xml:space="preserve">Premium / benchmark PMPM</t>
  </si>
  <si>
    <t xml:space="preserve">New-clinic TCOC factor</t>
  </si>
  <si>
    <t xml:space="preserve">Actual TCOC PMPM</t>
  </si>
  <si>
    <t xml:space="preserve">REVENUE</t>
  </si>
  <si>
    <t xml:space="preserve">Global capitation</t>
  </si>
  <si>
    <t xml:space="preserve">Care management</t>
  </si>
  <si>
    <t xml:space="preserve">Primary care cap (PCCP)</t>
  </si>
  <si>
    <t xml:space="preserve">FFS own services</t>
  </si>
  <si>
    <t xml:space="preserve">Benchmark / target TCOC (memo)</t>
  </si>
  <si>
    <t xml:space="preserve">Actual TCOC (memo)</t>
  </si>
  <si>
    <t xml:space="preserve">Gross savings vs benchmark (memo)</t>
  </si>
  <si>
    <t xml:space="preserve">Shared savings / (loss) settlement</t>
  </si>
  <si>
    <t xml:space="preserve">TOTAL PROVIDER REVENUE</t>
  </si>
  <si>
    <t xml:space="preserve">PROVIDER MEDICAL COST  (cash-bearing)</t>
  </si>
  <si>
    <t xml:space="preserve">Medical claims (full-cap only)</t>
  </si>
  <si>
    <t xml:space="preserve">Stop-loss premium</t>
  </si>
  <si>
    <t xml:space="preserve">Stop-loss recoveries</t>
  </si>
  <si>
    <t xml:space="preserve">TOTAL PROVIDER MEDICAL COST</t>
  </si>
  <si>
    <t xml:space="preserve">CONTRIBUTION &amp; RATIOS</t>
  </si>
  <si>
    <t xml:space="preserve">Contribution margin</t>
  </si>
  <si>
    <t xml:space="preserve">Medical loss ratio (TCOC / premium)</t>
  </si>
  <si>
    <t xml:space="preserve">Contribution PMPM</t>
  </si>
  <si>
    <t xml:space="preserve">CONTRACT B — Two-Sided Shared Risk (50/50 vs target)</t>
  </si>
  <si>
    <t xml:space="preserve">CONTRACT C — Upside-Only Shared Savings (60% upside, no downside)</t>
  </si>
  <si>
    <t xml:space="preserve">CONTRACT D — ACO REACH Professional (PCCP + 50/50)</t>
  </si>
  <si>
    <t xml:space="preserve">CONSOLIDATED P&amp;L — Year 1 (Monthly)</t>
  </si>
  <si>
    <t xml:space="preserve">Shared savings / (loss)</t>
  </si>
  <si>
    <t xml:space="preserve">Total revenue</t>
  </si>
  <si>
    <t xml:space="preserve">MEDICAL COST (provider-borne)</t>
  </si>
  <si>
    <t xml:space="preserve">Medical claims (full-cap)</t>
  </si>
  <si>
    <t xml:space="preserve">Total medical cost</t>
  </si>
  <si>
    <t xml:space="preserve">MEDICAL MARGIN (contribution)</t>
  </si>
  <si>
    <t xml:space="preserve">CLINIC OPERATING EXPENSE</t>
  </si>
  <si>
    <t xml:space="preserve">Fixed clinic opex</t>
  </si>
  <si>
    <t xml:space="preserve">Care management (variable)</t>
  </si>
  <si>
    <t xml:space="preserve">G&amp;A / corporate</t>
  </si>
  <si>
    <t xml:space="preserve">Total clinic opex</t>
  </si>
  <si>
    <t xml:space="preserve">EBITDA</t>
  </si>
  <si>
    <t xml:space="preserve">EBITDA margin</t>
  </si>
  <si>
    <t xml:space="preserve">Medical margin PMPM</t>
  </si>
  <si>
    <t xml:space="preserve">CASH FLOW — Year 1 (Monthly)</t>
  </si>
  <si>
    <t xml:space="preserve">Full-cap dynamic: capitation received prospectively, claims paid in arrears (lag), IBNR float builds.</t>
  </si>
  <si>
    <t xml:space="preserve">OPERATING CASH IN</t>
  </si>
  <si>
    <t xml:space="preserve">Capitation &amp; fees received (prospective)</t>
  </si>
  <si>
    <t xml:space="preserve">Settlement received (prior-yr true-up)</t>
  </si>
  <si>
    <t xml:space="preserve">Total cash in</t>
  </si>
  <si>
    <t xml:space="preserve">OPERATING CASH OUT</t>
  </si>
  <si>
    <t xml:space="preserve">Medical claims paid (2-mo lag)</t>
  </si>
  <si>
    <t xml:space="preserve">Stop-loss premium paid</t>
  </si>
  <si>
    <t xml:space="preserve">Clinic operating expense paid</t>
  </si>
  <si>
    <t xml:space="preserve">Total cash out</t>
  </si>
  <si>
    <t xml:space="preserve">NET OPERATING CASH FLOW</t>
  </si>
  <si>
    <t xml:space="preserve">Cumulative cash position</t>
  </si>
  <si>
    <t xml:space="preserve">CLAIMS PAYABLE / IBNR FLOAT  (full-cap)</t>
  </si>
  <si>
    <t xml:space="preserve">Claims incurred</t>
  </si>
  <si>
    <t xml:space="preserve">Claims paid</t>
  </si>
  <si>
    <t xml:space="preserve">Ending claims payable (IBNR + unpaid)</t>
  </si>
  <si>
    <t xml:space="preserve">3-YEAR SUMMARY &amp; COHORT J-CURVE</t>
  </si>
  <si>
    <t xml:space="preserve">CONTRIBUTION PMPM BY CONTRACT × TENURE  (Year-1 $, isolates maturation)</t>
  </si>
  <si>
    <t xml:space="preserve">Contract</t>
  </si>
  <si>
    <t xml:space="preserve">Tenure Yr 1</t>
  </si>
  <si>
    <t xml:space="preserve">Tenure Yr 2</t>
  </si>
  <si>
    <t xml:space="preserve">Tenure Yr 3</t>
  </si>
  <si>
    <t xml:space="preserve">C · Upside</t>
  </si>
  <si>
    <t xml:space="preserve">D · REACH</t>
  </si>
  <si>
    <t xml:space="preserve">Blended (weighted by members)</t>
  </si>
  <si>
    <t xml:space="preserve">ENROLLMENT COHORTS (members)</t>
  </si>
  <si>
    <t xml:space="preserve">Cohort 1 (Yr-1 enrollees)</t>
  </si>
  <si>
    <t xml:space="preserve">Cohort 2 (Yr-2 enrollees)</t>
  </si>
  <si>
    <t xml:space="preserve">Cohort 3 (Yr-3 enrollees)</t>
  </si>
  <si>
    <t xml:space="preserve">Total members (avg)</t>
  </si>
  <si>
    <t xml:space="preserve">ANNUAL P&amp;L  (cohort-weighted; price/cost trend held flat for clarity)</t>
  </si>
  <si>
    <t xml:space="preserve">Member-months</t>
  </si>
  <si>
    <t xml:space="preserve">Blended medical margin PMPM</t>
  </si>
  <si>
    <t xml:space="preserve">Medical margin ($)</t>
  </si>
  <si>
    <t xml:space="preserve">Clinic opex ($)</t>
  </si>
  <si>
    <t xml:space="preserve">EBITDA ($)</t>
  </si>
  <si>
    <t xml:space="preserve">EBITDA margin (% of med margin)</t>
  </si>
  <si>
    <t xml:space="preserve">J-curve: margin PMPM rises as RAF is recaptured (risk lever) and utilization falls with engagement (TCOC lever);</t>
  </si>
  <si>
    <t xml:space="preserve">scaling membership on a maturing panel drives the clinic from EBITDA loss to profit.</t>
  </si>
  <si>
    <t xml:space="preserve">KPI DASHBOARD — by contract (Year 1)</t>
  </si>
  <si>
    <t xml:space="preserve">PER-CONTRACT METRICS</t>
  </si>
  <si>
    <t xml:space="preserve">Blended</t>
  </si>
  <si>
    <t xml:space="preserve">Avg members (Year 1)</t>
  </si>
  <si>
    <t xml:space="preserve">Mature RAF</t>
  </si>
  <si>
    <t xml:space="preserve">RAF (Yr-1 cohort)</t>
  </si>
  <si>
    <t xml:space="preserve">Total revenue ($)</t>
  </si>
  <si>
    <t xml:space="preserve">Medical loss ratio (MLR)</t>
  </si>
  <si>
    <t xml:space="preserve">Contribution margin ($)</t>
  </si>
  <si>
    <t xml:space="preserve">Inpatient admits / 1,000 (assumed)</t>
  </si>
  <si>
    <t xml:space="preserve">Inpatient TCOC PMPM</t>
  </si>
  <si>
    <t xml:space="preserve">MLR = actual TCOC / risk-adjusted premium. Contribution = provider revenue less provider-borne medical cost (pre-clinic-opex).</t>
  </si>
  <si>
    <t xml:space="preserve">CONTRACT A - Two Operating Structures for Global Cap</t>
  </si>
  <si>
    <t xml:space="preserve">Identical economics, different cash timing: who pays claims and who holds the IBNR float.</t>
  </si>
  <si>
    <t xml:space="preserve">SCENARIO INPUTS</t>
  </si>
  <si>
    <t xml:space="preserve">Care-management PMPM (plan-pays case)</t>
  </si>
  <si>
    <t xml:space="preserve">Settlement lag (months) - true-up paid next year</t>
  </si>
  <si>
    <t xml:space="preserve">ECONOMIC RESULT  (identical under both structures)</t>
  </si>
  <si>
    <t xml:space="preserve">Global cap earned</t>
  </si>
  <si>
    <t xml:space="preserve">Net economic margin</t>
  </si>
  <si>
    <t xml:space="preserve">STRUCTURE 1 - DELEGATED  (provider adjudicates &amp; pays claims)</t>
  </si>
  <si>
    <t xml:space="preserve">Cash in: full capitation received</t>
  </si>
  <si>
    <t xml:space="preserve">Cash out: claims paid (2-mo lag)</t>
  </si>
  <si>
    <t xml:space="preserve">Cash out: stop-loss premium net of recoveries</t>
  </si>
  <si>
    <t xml:space="preserve">Net provider cash (pre-opex)</t>
  </si>
  <si>
    <t xml:space="preserve">Cumulative cash</t>
  </si>
  <si>
    <t xml:space="preserve">Memo: IBNR / claims payable (provider holds float)</t>
  </si>
  <si>
    <t xml:space="preserve">STRUCTURE 2 - PLAN PAYS &amp; RECONCILES  (plan adjudicates; settles vs cap pool)</t>
  </si>
  <si>
    <t xml:space="preserve">Cash in: care-management PMPM (operating draw)</t>
  </si>
  <si>
    <t xml:space="preserve">Cash in: risk-pool settlement received (lag)</t>
  </si>
  <si>
    <t xml:space="preserve">Cash out: claims paid by provider</t>
  </si>
  <si>
    <t xml:space="preserve">Memo: settlement receivable/(payable) accrued</t>
  </si>
  <si>
    <t xml:space="preserve">RECONCILIATION - both structures tie to cumulative economic margin</t>
  </si>
  <si>
    <t xml:space="preserve">Cumulative economic margin</t>
  </si>
  <si>
    <t xml:space="preserve">S1 check: cumulative cash - IBNR payable</t>
  </si>
  <si>
    <t xml:space="preserve">S2 check: cumulative cash + settlement receivable</t>
  </si>
  <si>
    <t xml:space="preserve">WORKING-CAPITAL TAKEAWAY</t>
  </si>
  <si>
    <t xml:space="preserve">Structure 1 (delegated): provider receives the full cap up front and pays claims in arrears, so it</t>
  </si>
  <si>
    <t xml:space="preserve">  sits on a large IBNR float (cash held but owed) - a short-term working-capital positive, but a real</t>
  </si>
  <si>
    <t xml:space="preserve">  liability that needs reserves, plus claims-adjudication infrastructure (or a delegated TPA).</t>
  </si>
  <si>
    <t xml:space="preserve">Structure 2 (plan pays): provider gets only a small steady care-management PMPM for operations; the</t>
  </si>
  <si>
    <t xml:space="preserve">  economics arrive late as a settlement receivable/(payable). The plan holds the float. Less balance-</t>
  </si>
  <si>
    <t xml:space="preserve">  sheet risk and no claims shop - but cash depends on the plan's settlement accuracy and timing.</t>
  </si>
  <si>
    <t xml:space="preserve">For an early-stage clinic, Structure 2 is the common real-world setup; finance's job is validating the</t>
  </si>
  <si>
    <t xml:space="preserve">  plan's claims &amp; settlement reports and contesting errors - not running reserves and a claims operation.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</si>
</sst>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;\(0.0%\);\-"/>
    <numFmt numFmtId="167" formatCode="0.000"/>
    <numFmt numFmtId="168" formatCode="\$#,##0;&quot;($&quot;#,##0\);\-"/>
    <numFmt numFmtId="169" formatCode="#,##0;\(#,##0\);\-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404040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6" min="3" style="0" width="2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  <c r="E5" s="4"/>
      <c r="F5" s="4"/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1" customFormat="false" ht="15" hidden="false" customHeight="false" outlineLevel="0" collapsed="false">
      <c r="B11" s="3" t="s">
        <v>7</v>
      </c>
      <c r="C11" s="4"/>
      <c r="D11" s="4"/>
      <c r="E11" s="4"/>
      <c r="F11" s="4"/>
    </row>
    <row r="12" customFormat="false" ht="15" hidden="false" customHeight="false" outlineLevel="0" collapsed="false">
      <c r="B12" s="6" t="s">
        <v>8</v>
      </c>
    </row>
    <row r="13" customFormat="false" ht="25.5" hidden="false" customHeight="true" outlineLevel="0" collapsed="false">
      <c r="B13" s="7" t="s">
        <v>9</v>
      </c>
    </row>
    <row r="14" customFormat="false" ht="15" hidden="false" customHeight="false" outlineLevel="0" collapsed="false">
      <c r="B14" s="6" t="s">
        <v>10</v>
      </c>
    </row>
    <row r="15" customFormat="false" ht="25.5" hidden="false" customHeight="true" outlineLevel="0" collapsed="false">
      <c r="B15" s="7" t="s">
        <v>11</v>
      </c>
    </row>
    <row r="16" customFormat="false" ht="15" hidden="false" customHeight="false" outlineLevel="0" collapsed="false">
      <c r="B16" s="6" t="s">
        <v>12</v>
      </c>
    </row>
    <row r="17" customFormat="false" ht="25.5" hidden="false" customHeight="true" outlineLevel="0" collapsed="false">
      <c r="B17" s="7" t="s">
        <v>13</v>
      </c>
    </row>
    <row r="18" customFormat="false" ht="15" hidden="false" customHeight="false" outlineLevel="0" collapsed="false">
      <c r="B18" s="6" t="s">
        <v>14</v>
      </c>
    </row>
    <row r="19" customFormat="false" ht="25.5" hidden="false" customHeight="true" outlineLevel="0" collapsed="false">
      <c r="B19" s="7" t="s">
        <v>15</v>
      </c>
    </row>
    <row r="21" customFormat="false" ht="15" hidden="false" customHeight="false" outlineLevel="0" collapsed="false">
      <c r="B21" s="3" t="s">
        <v>16</v>
      </c>
      <c r="C21" s="4"/>
      <c r="D21" s="4"/>
      <c r="E21" s="4"/>
      <c r="F21" s="4"/>
    </row>
    <row r="22" customFormat="false" ht="15" hidden="false" customHeight="false" outlineLevel="0" collapsed="false">
      <c r="B22" s="8" t="s">
        <v>17</v>
      </c>
      <c r="C22" s="9" t="s">
        <v>18</v>
      </c>
    </row>
    <row r="23" customFormat="false" ht="15" hidden="false" customHeight="false" outlineLevel="0" collapsed="false">
      <c r="B23" s="8" t="s">
        <v>19</v>
      </c>
      <c r="C23" s="9" t="s">
        <v>20</v>
      </c>
    </row>
    <row r="24" customFormat="false" ht="15" hidden="false" customHeight="false" outlineLevel="0" collapsed="false">
      <c r="B24" s="8" t="s">
        <v>21</v>
      </c>
      <c r="C24" s="9" t="s">
        <v>22</v>
      </c>
    </row>
    <row r="25" customFormat="false" ht="15" hidden="false" customHeight="false" outlineLevel="0" collapsed="false">
      <c r="B25" s="8" t="s">
        <v>23</v>
      </c>
      <c r="C25" s="9" t="s">
        <v>24</v>
      </c>
    </row>
    <row r="26" customFormat="false" ht="15" hidden="false" customHeight="false" outlineLevel="0" collapsed="false">
      <c r="B26" s="8" t="s">
        <v>25</v>
      </c>
      <c r="C26" s="9" t="s">
        <v>26</v>
      </c>
    </row>
    <row r="27" customFormat="false" ht="15" hidden="false" customHeight="false" outlineLevel="0" collapsed="false">
      <c r="B27" s="8" t="s">
        <v>27</v>
      </c>
      <c r="C27" s="9" t="s">
        <v>28</v>
      </c>
    </row>
    <row r="30" customFormat="false" ht="15" hidden="false" customHeight="false" outlineLevel="0" collapsed="false">
      <c r="B30" s="10" t="s">
        <v>29</v>
      </c>
    </row>
    <row r="31" customFormat="false" ht="15" hidden="false" customHeight="false" outlineLevel="0" collapsed="false">
      <c r="B31" s="11" t="s">
        <v>30</v>
      </c>
      <c r="C31" s="12" t="s">
        <v>31</v>
      </c>
      <c r="D31" s="13" t="s">
        <v>32</v>
      </c>
    </row>
    <row r="33" customFormat="false" ht="15" hidden="false" customHeight="false" outlineLevel="0" collapsed="false">
      <c r="B33" s="1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8"/>
    <col collapsed="false" customWidth="true" hidden="false" outlineLevel="0" max="6" min="6" style="0" width="30"/>
  </cols>
  <sheetData>
    <row r="1" customFormat="false" ht="18.55" hidden="false" customHeight="false" outlineLevel="0" collapsed="false">
      <c r="A1" s="15" t="s">
        <v>34</v>
      </c>
    </row>
    <row r="3" customFormat="false" ht="15" hidden="false" customHeight="false" outlineLevel="0" collapsed="false">
      <c r="A3" s="16" t="s">
        <v>35</v>
      </c>
      <c r="B3" s="17"/>
      <c r="C3" s="17"/>
      <c r="D3" s="17"/>
      <c r="E3" s="17"/>
    </row>
    <row r="4" customFormat="false" ht="15" hidden="false" customHeight="false" outlineLevel="0" collapsed="false">
      <c r="A4" s="5" t="s">
        <v>36</v>
      </c>
      <c r="B4" s="18" t="n">
        <v>2026</v>
      </c>
    </row>
    <row r="5" customFormat="false" ht="15" hidden="false" customHeight="false" outlineLevel="0" collapsed="false">
      <c r="A5" s="5" t="s">
        <v>37</v>
      </c>
      <c r="B5" s="19" t="n">
        <v>0.05</v>
      </c>
    </row>
    <row r="6" customFormat="false" ht="15" hidden="false" customHeight="false" outlineLevel="0" collapsed="false">
      <c r="A6" s="5" t="s">
        <v>38</v>
      </c>
      <c r="B6" s="19" t="n">
        <v>0.035</v>
      </c>
    </row>
    <row r="7" customFormat="false" ht="15" hidden="false" customHeight="false" outlineLevel="0" collapsed="false">
      <c r="A7" s="5" t="s">
        <v>39</v>
      </c>
      <c r="B7" s="19" t="n">
        <v>0.12</v>
      </c>
    </row>
    <row r="8" customFormat="false" ht="15" hidden="false" customHeight="false" outlineLevel="0" collapsed="false">
      <c r="A8" s="5" t="s">
        <v>40</v>
      </c>
      <c r="B8" s="18" t="n">
        <v>2</v>
      </c>
    </row>
    <row r="9" customFormat="false" ht="15" hidden="false" customHeight="false" outlineLevel="0" collapsed="false">
      <c r="A9" s="5" t="s">
        <v>41</v>
      </c>
      <c r="B9" s="20" t="n">
        <v>1.06</v>
      </c>
    </row>
    <row r="10" customFormat="false" ht="15" hidden="false" customHeight="false" outlineLevel="0" collapsed="false">
      <c r="A10" s="5" t="s">
        <v>42</v>
      </c>
      <c r="B10" s="20" t="n">
        <v>1</v>
      </c>
    </row>
    <row r="11" customFormat="false" ht="15" hidden="false" customHeight="false" outlineLevel="0" collapsed="false">
      <c r="A11" s="5" t="s">
        <v>43</v>
      </c>
      <c r="B11" s="18" t="n">
        <v>185</v>
      </c>
    </row>
    <row r="13" customFormat="false" ht="15" hidden="false" customHeight="false" outlineLevel="0" collapsed="false">
      <c r="A13" s="16" t="s">
        <v>44</v>
      </c>
      <c r="B13" s="17"/>
      <c r="C13" s="17"/>
      <c r="D13" s="17"/>
      <c r="E13" s="17"/>
    </row>
    <row r="14" customFormat="false" ht="15" hidden="false" customHeight="false" outlineLevel="0" collapsed="false">
      <c r="A14" s="5" t="s">
        <v>45</v>
      </c>
      <c r="B14" s="21" t="n">
        <v>380000</v>
      </c>
    </row>
    <row r="15" customFormat="false" ht="15" hidden="false" customHeight="false" outlineLevel="0" collapsed="false">
      <c r="A15" s="5" t="s">
        <v>46</v>
      </c>
      <c r="B15" s="21" t="n">
        <v>18</v>
      </c>
    </row>
    <row r="16" customFormat="false" ht="15" hidden="false" customHeight="false" outlineLevel="0" collapsed="false">
      <c r="A16" s="5" t="s">
        <v>47</v>
      </c>
      <c r="B16" s="21" t="n">
        <v>120000</v>
      </c>
    </row>
    <row r="18" customFormat="false" ht="15" hidden="false" customHeight="false" outlineLevel="0" collapsed="false">
      <c r="A18" s="16" t="s">
        <v>48</v>
      </c>
      <c r="B18" s="17"/>
      <c r="C18" s="17"/>
      <c r="D18" s="17"/>
      <c r="E18" s="17"/>
    </row>
    <row r="19" customFormat="false" ht="15" hidden="false" customHeight="false" outlineLevel="0" collapsed="false">
      <c r="A19" s="5" t="s">
        <v>49</v>
      </c>
      <c r="B19" s="19" t="n">
        <v>0.3</v>
      </c>
    </row>
    <row r="20" customFormat="false" ht="15" hidden="false" customHeight="false" outlineLevel="0" collapsed="false">
      <c r="A20" s="5" t="s">
        <v>50</v>
      </c>
      <c r="B20" s="19" t="n">
        <v>0.16</v>
      </c>
    </row>
    <row r="21" customFormat="false" ht="15" hidden="false" customHeight="false" outlineLevel="0" collapsed="false">
      <c r="A21" s="5" t="s">
        <v>51</v>
      </c>
      <c r="B21" s="19" t="n">
        <v>0.18</v>
      </c>
    </row>
    <row r="22" customFormat="false" ht="15" hidden="false" customHeight="false" outlineLevel="0" collapsed="false">
      <c r="A22" s="5" t="s">
        <v>52</v>
      </c>
      <c r="B22" s="19" t="n">
        <v>0.08</v>
      </c>
    </row>
    <row r="23" customFormat="false" ht="15" hidden="false" customHeight="false" outlineLevel="0" collapsed="false">
      <c r="A23" s="5" t="s">
        <v>53</v>
      </c>
      <c r="B23" s="19" t="n">
        <v>0.1</v>
      </c>
    </row>
    <row r="24" customFormat="false" ht="15" hidden="false" customHeight="false" outlineLevel="0" collapsed="false">
      <c r="A24" s="5" t="s">
        <v>54</v>
      </c>
      <c r="B24" s="19" t="n">
        <v>0.12</v>
      </c>
    </row>
    <row r="25" customFormat="false" ht="15" hidden="false" customHeight="false" outlineLevel="0" collapsed="false">
      <c r="A25" s="5" t="s">
        <v>55</v>
      </c>
      <c r="B25" s="19" t="n">
        <v>0.04</v>
      </c>
    </row>
    <row r="26" customFormat="false" ht="15" hidden="false" customHeight="false" outlineLevel="0" collapsed="false">
      <c r="A26" s="5" t="s">
        <v>56</v>
      </c>
      <c r="B26" s="19" t="n">
        <v>0.02</v>
      </c>
    </row>
    <row r="27" customFormat="false" ht="15" hidden="false" customHeight="false" outlineLevel="0" collapsed="false">
      <c r="A27" s="10" t="s">
        <v>57</v>
      </c>
      <c r="B27" s="22" t="n">
        <f aca="false">SUM(B19:B26)</f>
        <v>1</v>
      </c>
    </row>
    <row r="29" customFormat="false" ht="15" hidden="false" customHeight="false" outlineLevel="0" collapsed="false">
      <c r="A29" s="16" t="s">
        <v>58</v>
      </c>
      <c r="B29" s="17"/>
      <c r="C29" s="17"/>
      <c r="D29" s="17"/>
      <c r="E29" s="17"/>
    </row>
    <row r="30" customFormat="false" ht="15" hidden="false" customHeight="false" outlineLevel="0" collapsed="false">
      <c r="A30" s="23" t="s">
        <v>59</v>
      </c>
      <c r="B30" s="24" t="s">
        <v>60</v>
      </c>
      <c r="C30" s="24" t="s">
        <v>61</v>
      </c>
      <c r="D30" s="24" t="s">
        <v>62</v>
      </c>
      <c r="E30" s="24" t="s">
        <v>63</v>
      </c>
    </row>
    <row r="31" customFormat="false" ht="15" hidden="false" customHeight="false" outlineLevel="0" collapsed="false">
      <c r="A31" s="5" t="s">
        <v>64</v>
      </c>
      <c r="B31" s="25" t="s">
        <v>65</v>
      </c>
      <c r="C31" s="25" t="s">
        <v>66</v>
      </c>
      <c r="D31" s="25" t="s">
        <v>67</v>
      </c>
      <c r="E31" s="25" t="s">
        <v>68</v>
      </c>
    </row>
    <row r="32" customFormat="false" ht="15" hidden="false" customHeight="false" outlineLevel="0" collapsed="false">
      <c r="A32" s="5" t="s">
        <v>69</v>
      </c>
      <c r="B32" s="25" t="s">
        <v>70</v>
      </c>
      <c r="C32" s="25" t="s">
        <v>71</v>
      </c>
      <c r="D32" s="25" t="s">
        <v>72</v>
      </c>
      <c r="E32" s="25" t="s">
        <v>73</v>
      </c>
    </row>
    <row r="33" customFormat="false" ht="15" hidden="false" customHeight="false" outlineLevel="0" collapsed="false">
      <c r="A33" s="5" t="s">
        <v>74</v>
      </c>
      <c r="B33" s="26" t="n">
        <v>1</v>
      </c>
      <c r="C33" s="26" t="n">
        <v>0</v>
      </c>
      <c r="D33" s="26" t="n">
        <v>0</v>
      </c>
      <c r="E33" s="26" t="n">
        <v>0</v>
      </c>
    </row>
    <row r="34" customFormat="false" ht="15" hidden="false" customHeight="false" outlineLevel="0" collapsed="false">
      <c r="A34" s="5" t="s">
        <v>75</v>
      </c>
      <c r="B34" s="26" t="n">
        <v>3600</v>
      </c>
      <c r="C34" s="26" t="n">
        <v>450</v>
      </c>
      <c r="D34" s="26" t="n">
        <v>250</v>
      </c>
      <c r="E34" s="26" t="n">
        <v>200</v>
      </c>
    </row>
    <row r="35" customFormat="false" ht="15" hidden="false" customHeight="false" outlineLevel="0" collapsed="false">
      <c r="A35" s="5" t="s">
        <v>76</v>
      </c>
      <c r="B35" s="27" t="n">
        <v>0.01</v>
      </c>
      <c r="C35" s="27" t="n">
        <v>0.01</v>
      </c>
      <c r="D35" s="27" t="n">
        <v>0.01</v>
      </c>
      <c r="E35" s="27" t="n">
        <v>0.015</v>
      </c>
    </row>
    <row r="36" customFormat="false" ht="15" hidden="false" customHeight="false" outlineLevel="0" collapsed="false">
      <c r="A36" s="5" t="s">
        <v>77</v>
      </c>
      <c r="B36" s="28" t="n">
        <v>1.12</v>
      </c>
      <c r="C36" s="28" t="n">
        <v>1.05</v>
      </c>
      <c r="D36" s="28" t="n">
        <v>1</v>
      </c>
      <c r="E36" s="28" t="n">
        <v>1.05</v>
      </c>
    </row>
    <row r="37" customFormat="false" ht="15" hidden="false" customHeight="false" outlineLevel="0" collapsed="false">
      <c r="A37" s="5" t="s">
        <v>78</v>
      </c>
      <c r="B37" s="29" t="n">
        <v>1450</v>
      </c>
      <c r="C37" s="29" t="n">
        <v>1350</v>
      </c>
      <c r="D37" s="29" t="n">
        <v>1250</v>
      </c>
      <c r="E37" s="29" t="n">
        <v>1150</v>
      </c>
    </row>
    <row r="38" customFormat="false" ht="15" hidden="false" customHeight="false" outlineLevel="0" collapsed="false">
      <c r="A38" s="5" t="s">
        <v>79</v>
      </c>
      <c r="B38" s="27" t="n">
        <v>0.9</v>
      </c>
      <c r="C38" s="27" t="n">
        <v>0</v>
      </c>
      <c r="D38" s="27" t="n">
        <v>0</v>
      </c>
      <c r="E38" s="27" t="n">
        <v>0</v>
      </c>
    </row>
    <row r="39" customFormat="false" ht="15" hidden="false" customHeight="false" outlineLevel="0" collapsed="false">
      <c r="A39" s="5" t="s">
        <v>80</v>
      </c>
      <c r="B39" s="29" t="n">
        <v>0</v>
      </c>
      <c r="C39" s="29" t="n">
        <v>55</v>
      </c>
      <c r="D39" s="29" t="n">
        <v>0</v>
      </c>
      <c r="E39" s="29" t="n">
        <v>0</v>
      </c>
    </row>
    <row r="40" customFormat="false" ht="15" hidden="false" customHeight="false" outlineLevel="0" collapsed="false">
      <c r="A40" s="5" t="s">
        <v>81</v>
      </c>
      <c r="B40" s="29" t="n">
        <v>0</v>
      </c>
      <c r="C40" s="29" t="n">
        <v>0</v>
      </c>
      <c r="D40" s="29" t="n">
        <v>0</v>
      </c>
      <c r="E40" s="29" t="n">
        <v>80</v>
      </c>
    </row>
    <row r="41" customFormat="false" ht="15" hidden="false" customHeight="false" outlineLevel="0" collapsed="false">
      <c r="A41" s="5" t="s">
        <v>82</v>
      </c>
      <c r="B41" s="29" t="n">
        <v>0</v>
      </c>
      <c r="C41" s="29" t="n">
        <v>0</v>
      </c>
      <c r="D41" s="29" t="n">
        <v>50</v>
      </c>
      <c r="E41" s="29" t="n">
        <v>0</v>
      </c>
    </row>
    <row r="42" customFormat="false" ht="15" hidden="false" customHeight="false" outlineLevel="0" collapsed="false">
      <c r="A42" s="5" t="s">
        <v>83</v>
      </c>
      <c r="B42" s="27" t="n">
        <v>0</v>
      </c>
      <c r="C42" s="27" t="n">
        <v>0.88</v>
      </c>
      <c r="D42" s="27" t="n">
        <v>0.9</v>
      </c>
      <c r="E42" s="27" t="n">
        <v>0.98</v>
      </c>
    </row>
    <row r="43" customFormat="false" ht="15" hidden="false" customHeight="false" outlineLevel="0" collapsed="false">
      <c r="A43" s="5" t="s">
        <v>84</v>
      </c>
      <c r="B43" s="27" t="n">
        <v>0</v>
      </c>
      <c r="C43" s="27" t="n">
        <v>0.5</v>
      </c>
      <c r="D43" s="27" t="n">
        <v>0.6</v>
      </c>
      <c r="E43" s="27" t="n">
        <v>0.5</v>
      </c>
    </row>
    <row r="44" customFormat="false" ht="15" hidden="false" customHeight="false" outlineLevel="0" collapsed="false">
      <c r="A44" s="5" t="s">
        <v>85</v>
      </c>
      <c r="B44" s="27" t="n">
        <v>0</v>
      </c>
      <c r="C44" s="27" t="n">
        <v>0.5</v>
      </c>
      <c r="D44" s="27" t="n">
        <v>0</v>
      </c>
      <c r="E44" s="27" t="n">
        <v>0.5</v>
      </c>
    </row>
    <row r="45" customFormat="false" ht="15" hidden="false" customHeight="false" outlineLevel="0" collapsed="false">
      <c r="A45" s="5" t="s">
        <v>86</v>
      </c>
      <c r="B45" s="26" t="n">
        <v>0</v>
      </c>
      <c r="C45" s="26" t="n">
        <v>1</v>
      </c>
      <c r="D45" s="26" t="n">
        <v>0</v>
      </c>
      <c r="E45" s="26" t="n">
        <v>1</v>
      </c>
    </row>
    <row r="46" customFormat="false" ht="15" hidden="false" customHeight="false" outlineLevel="0" collapsed="false">
      <c r="A46" s="5" t="s">
        <v>87</v>
      </c>
      <c r="B46" s="29" t="n">
        <v>1140</v>
      </c>
      <c r="C46" s="29" t="n">
        <v>1120</v>
      </c>
      <c r="D46" s="29" t="n">
        <v>1060</v>
      </c>
      <c r="E46" s="29" t="n">
        <v>1010</v>
      </c>
    </row>
    <row r="47" customFormat="false" ht="15" hidden="false" customHeight="false" outlineLevel="0" collapsed="false">
      <c r="A47" s="5" t="s">
        <v>88</v>
      </c>
      <c r="B47" s="29" t="n">
        <v>35</v>
      </c>
      <c r="C47" s="29" t="n">
        <v>0</v>
      </c>
      <c r="D47" s="29" t="n">
        <v>0</v>
      </c>
      <c r="E47" s="29" t="n">
        <v>0</v>
      </c>
    </row>
    <row r="48" customFormat="false" ht="15" hidden="false" customHeight="false" outlineLevel="0" collapsed="false">
      <c r="A48" s="5" t="s">
        <v>89</v>
      </c>
      <c r="B48" s="29" t="n">
        <v>26</v>
      </c>
      <c r="C48" s="29" t="n">
        <v>0</v>
      </c>
      <c r="D48" s="29" t="n">
        <v>0</v>
      </c>
      <c r="E48" s="29" t="n">
        <v>0</v>
      </c>
    </row>
    <row r="50" customFormat="false" ht="15" hidden="false" customHeight="false" outlineLevel="0" collapsed="false">
      <c r="A50" s="16" t="s">
        <v>90</v>
      </c>
      <c r="B50" s="17"/>
      <c r="C50" s="17"/>
      <c r="D50" s="17"/>
      <c r="E50" s="17"/>
    </row>
    <row r="51" customFormat="false" ht="22.35" hidden="false" customHeight="false" outlineLevel="0" collapsed="false">
      <c r="A51" s="23" t="s">
        <v>91</v>
      </c>
      <c r="B51" s="30" t="s">
        <v>92</v>
      </c>
      <c r="C51" s="30" t="s">
        <v>93</v>
      </c>
    </row>
    <row r="52" customFormat="false" ht="15" hidden="false" customHeight="false" outlineLevel="0" collapsed="false">
      <c r="A52" s="5" t="s">
        <v>94</v>
      </c>
      <c r="B52" s="20" t="n">
        <v>0.9</v>
      </c>
      <c r="C52" s="20" t="n">
        <v>1.06</v>
      </c>
    </row>
    <row r="53" customFormat="false" ht="15" hidden="false" customHeight="false" outlineLevel="0" collapsed="false">
      <c r="A53" s="5" t="s">
        <v>95</v>
      </c>
      <c r="B53" s="20" t="n">
        <v>0.98</v>
      </c>
      <c r="C53" s="20" t="n">
        <v>1.02</v>
      </c>
    </row>
    <row r="54" customFormat="false" ht="15" hidden="false" customHeight="false" outlineLevel="0" collapsed="false">
      <c r="A54" s="5" t="s">
        <v>96</v>
      </c>
      <c r="B54" s="20" t="n">
        <v>1</v>
      </c>
      <c r="C54" s="20" t="n">
        <v>1</v>
      </c>
    </row>
    <row r="56" customFormat="false" ht="15" hidden="false" customHeight="false" outlineLevel="0" collapsed="false">
      <c r="A56" s="16" t="s">
        <v>97</v>
      </c>
      <c r="B56" s="17"/>
      <c r="C56" s="17"/>
      <c r="D56" s="17"/>
      <c r="E56" s="17"/>
    </row>
    <row r="57" customFormat="false" ht="15" hidden="false" customHeight="false" outlineLevel="0" collapsed="false">
      <c r="A57" s="4"/>
      <c r="B57" s="24" t="s">
        <v>98</v>
      </c>
      <c r="C57" s="24" t="s">
        <v>95</v>
      </c>
      <c r="D57" s="24" t="s">
        <v>99</v>
      </c>
    </row>
    <row r="58" customFormat="false" ht="15" hidden="false" customHeight="false" outlineLevel="0" collapsed="false">
      <c r="A58" s="5" t="s">
        <v>100</v>
      </c>
      <c r="B58" s="18" t="n">
        <v>4500</v>
      </c>
      <c r="C58" s="18" t="n">
        <v>900</v>
      </c>
      <c r="D58" s="18" t="n">
        <v>800</v>
      </c>
    </row>
    <row r="59" customFormat="false" ht="15" hidden="false" customHeight="false" outlineLevel="0" collapsed="false">
      <c r="A59" s="5" t="s">
        <v>101</v>
      </c>
      <c r="B59" s="19" t="n">
        <v>0.9</v>
      </c>
      <c r="C59" s="19" t="n">
        <v>0.9</v>
      </c>
      <c r="D59" s="19" t="n"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"/>
    <col collapsed="false" customWidth="true" hidden="false" outlineLevel="0" max="14" min="3" style="0" width="10"/>
    <col collapsed="false" customWidth="true" hidden="false" outlineLevel="0" max="15" min="15" style="0" width="13"/>
  </cols>
  <sheetData>
    <row r="1" customFormat="false" ht="16.15" hidden="false" customHeight="false" outlineLevel="0" collapsed="false">
      <c r="A1" s="31" t="s">
        <v>102</v>
      </c>
    </row>
    <row r="2" customFormat="false" ht="15" hidden="false" customHeight="false" outlineLevel="0" collapsed="false">
      <c r="A2" s="14" t="s">
        <v>103</v>
      </c>
      <c r="C2" s="32" t="s">
        <v>104</v>
      </c>
      <c r="D2" s="32" t="s">
        <v>105</v>
      </c>
      <c r="E2" s="32" t="s">
        <v>106</v>
      </c>
      <c r="F2" s="32" t="s">
        <v>107</v>
      </c>
      <c r="G2" s="32" t="s">
        <v>108</v>
      </c>
      <c r="H2" s="32" t="s">
        <v>109</v>
      </c>
      <c r="I2" s="32" t="s">
        <v>110</v>
      </c>
      <c r="J2" s="32" t="s">
        <v>111</v>
      </c>
      <c r="K2" s="32" t="s">
        <v>112</v>
      </c>
      <c r="L2" s="32" t="s">
        <v>113</v>
      </c>
      <c r="M2" s="32" t="s">
        <v>114</v>
      </c>
      <c r="N2" s="32" t="s">
        <v>115</v>
      </c>
      <c r="O2" s="33" t="s">
        <v>98</v>
      </c>
    </row>
    <row r="3" customFormat="false" ht="15" hidden="false" customHeight="false" outlineLevel="0" collapsed="false">
      <c r="A3" s="16" t="s">
        <v>116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customFormat="false" ht="15" hidden="false" customHeight="false" outlineLevel="0" collapsed="false">
      <c r="A4" s="5" t="s">
        <v>117</v>
      </c>
      <c r="C4" s="34" t="n">
        <f aca="false">Assumptions!$B$34</f>
        <v>3600</v>
      </c>
      <c r="D4" s="35" t="n">
        <f aca="false">C5</f>
        <v>3636</v>
      </c>
      <c r="E4" s="35" t="n">
        <f aca="false">D5</f>
        <v>3672.36</v>
      </c>
      <c r="F4" s="35" t="n">
        <f aca="false">E5</f>
        <v>3709.0836</v>
      </c>
      <c r="G4" s="35" t="n">
        <f aca="false">F5</f>
        <v>3746.174436</v>
      </c>
      <c r="H4" s="35" t="n">
        <f aca="false">G5</f>
        <v>3783.63618036</v>
      </c>
      <c r="I4" s="35" t="n">
        <f aca="false">H5</f>
        <v>3821.4725421636</v>
      </c>
      <c r="J4" s="35" t="n">
        <f aca="false">I5</f>
        <v>3859.68726758524</v>
      </c>
      <c r="K4" s="35" t="n">
        <f aca="false">J5</f>
        <v>3898.28414026109</v>
      </c>
      <c r="L4" s="35" t="n">
        <f aca="false">K5</f>
        <v>3937.2669816637</v>
      </c>
      <c r="M4" s="35" t="n">
        <f aca="false">L5</f>
        <v>3976.63965148034</v>
      </c>
      <c r="N4" s="35" t="n">
        <f aca="false">M5</f>
        <v>4016.40604799514</v>
      </c>
    </row>
    <row r="5" customFormat="false" ht="15" hidden="false" customHeight="false" outlineLevel="0" collapsed="false">
      <c r="A5" s="5" t="s">
        <v>118</v>
      </c>
      <c r="C5" s="35" t="n">
        <f aca="false">C4*(1+Assumptions!$B$35)</f>
        <v>3636</v>
      </c>
      <c r="D5" s="35" t="n">
        <f aca="false">D4*(1+Assumptions!$B$35)</f>
        <v>3672.36</v>
      </c>
      <c r="E5" s="35" t="n">
        <f aca="false">E4*(1+Assumptions!$B$35)</f>
        <v>3709.0836</v>
      </c>
      <c r="F5" s="35" t="n">
        <f aca="false">F4*(1+Assumptions!$B$35)</f>
        <v>3746.174436</v>
      </c>
      <c r="G5" s="35" t="n">
        <f aca="false">G4*(1+Assumptions!$B$35)</f>
        <v>3783.63618036</v>
      </c>
      <c r="H5" s="35" t="n">
        <f aca="false">H4*(1+Assumptions!$B$35)</f>
        <v>3821.4725421636</v>
      </c>
      <c r="I5" s="35" t="n">
        <f aca="false">I4*(1+Assumptions!$B$35)</f>
        <v>3859.68726758524</v>
      </c>
      <c r="J5" s="35" t="n">
        <f aca="false">J4*(1+Assumptions!$B$35)</f>
        <v>3898.28414026109</v>
      </c>
      <c r="K5" s="35" t="n">
        <f aca="false">K4*(1+Assumptions!$B$35)</f>
        <v>3937.2669816637</v>
      </c>
      <c r="L5" s="35" t="n">
        <f aca="false">L4*(1+Assumptions!$B$35)</f>
        <v>3976.63965148034</v>
      </c>
      <c r="M5" s="35" t="n">
        <f aca="false">M4*(1+Assumptions!$B$35)</f>
        <v>4016.40604799514</v>
      </c>
      <c r="N5" s="35" t="n">
        <f aca="false">N4*(1+Assumptions!$B$35)</f>
        <v>4056.57010847509</v>
      </c>
      <c r="O5" s="35" t="n">
        <f aca="false">N5</f>
        <v>4056.57010847509</v>
      </c>
    </row>
    <row r="6" customFormat="false" ht="15" hidden="false" customHeight="false" outlineLevel="0" collapsed="false">
      <c r="A6" s="10" t="s">
        <v>119</v>
      </c>
      <c r="C6" s="36" t="n">
        <f aca="false">AVERAGE(C4,C5)</f>
        <v>3618</v>
      </c>
      <c r="D6" s="36" t="n">
        <f aca="false">AVERAGE(D4,D5)</f>
        <v>3654.18</v>
      </c>
      <c r="E6" s="36" t="n">
        <f aca="false">AVERAGE(E4,E5)</f>
        <v>3690.7218</v>
      </c>
      <c r="F6" s="36" t="n">
        <f aca="false">AVERAGE(F4,F5)</f>
        <v>3727.629018</v>
      </c>
      <c r="G6" s="36" t="n">
        <f aca="false">AVERAGE(G4,G5)</f>
        <v>3764.90530818</v>
      </c>
      <c r="H6" s="36" t="n">
        <f aca="false">AVERAGE(H4,H5)</f>
        <v>3802.5543612618</v>
      </c>
      <c r="I6" s="36" t="n">
        <f aca="false">AVERAGE(I4,I5)</f>
        <v>3840.57990487442</v>
      </c>
      <c r="J6" s="36" t="n">
        <f aca="false">AVERAGE(J4,J5)</f>
        <v>3878.98570392316</v>
      </c>
      <c r="K6" s="36" t="n">
        <f aca="false">AVERAGE(K4,K5)</f>
        <v>3917.77556096239</v>
      </c>
      <c r="L6" s="36" t="n">
        <f aca="false">AVERAGE(L4,L5)</f>
        <v>3956.95331657202</v>
      </c>
      <c r="M6" s="36" t="n">
        <f aca="false">AVERAGE(M4,M5)</f>
        <v>3996.52284973774</v>
      </c>
      <c r="N6" s="36" t="n">
        <f aca="false">AVERAGE(N4,N5)</f>
        <v>4036.48807823512</v>
      </c>
      <c r="O6" s="36" t="n">
        <f aca="false">SUM(C6:N6)</f>
        <v>45885.2959017467</v>
      </c>
    </row>
    <row r="8" customFormat="false" ht="15" hidden="false" customHeight="false" outlineLevel="0" collapsed="false">
      <c r="A8" s="16" t="s">
        <v>120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customFormat="false" ht="15" hidden="false" customHeight="false" outlineLevel="0" collapsed="false">
      <c r="A9" s="5" t="s">
        <v>121</v>
      </c>
      <c r="C9" s="37" t="n">
        <f aca="false">Assumptions!$B$36*Assumptions!$B$52</f>
        <v>1.008</v>
      </c>
      <c r="D9" s="37" t="n">
        <f aca="false">Assumptions!$B$36*Assumptions!$B$52</f>
        <v>1.008</v>
      </c>
      <c r="E9" s="37" t="n">
        <f aca="false">Assumptions!$B$36*Assumptions!$B$52</f>
        <v>1.008</v>
      </c>
      <c r="F9" s="37" t="n">
        <f aca="false">Assumptions!$B$36*Assumptions!$B$52</f>
        <v>1.008</v>
      </c>
      <c r="G9" s="37" t="n">
        <f aca="false">Assumptions!$B$36*Assumptions!$B$52</f>
        <v>1.008</v>
      </c>
      <c r="H9" s="37" t="n">
        <f aca="false">Assumptions!$B$36*Assumptions!$B$52</f>
        <v>1.008</v>
      </c>
      <c r="I9" s="37" t="n">
        <f aca="false">Assumptions!$B$36*Assumptions!$B$52</f>
        <v>1.008</v>
      </c>
      <c r="J9" s="37" t="n">
        <f aca="false">Assumptions!$B$36*Assumptions!$B$52</f>
        <v>1.008</v>
      </c>
      <c r="K9" s="37" t="n">
        <f aca="false">Assumptions!$B$36*Assumptions!$B$52</f>
        <v>1.008</v>
      </c>
      <c r="L9" s="37" t="n">
        <f aca="false">Assumptions!$B$36*Assumptions!$B$52</f>
        <v>1.008</v>
      </c>
      <c r="M9" s="37" t="n">
        <f aca="false">Assumptions!$B$36*Assumptions!$B$52</f>
        <v>1.008</v>
      </c>
      <c r="N9" s="37" t="n">
        <f aca="false">Assumptions!$B$36*Assumptions!$B$52</f>
        <v>1.008</v>
      </c>
    </row>
    <row r="10" customFormat="false" ht="15" hidden="false" customHeight="false" outlineLevel="0" collapsed="false">
      <c r="A10" s="5" t="s">
        <v>122</v>
      </c>
      <c r="C10" s="38" t="n">
        <f aca="false">Assumptions!$B$37</f>
        <v>1450</v>
      </c>
      <c r="D10" s="38" t="n">
        <f aca="false">Assumptions!$B$37</f>
        <v>1450</v>
      </c>
      <c r="E10" s="38" t="n">
        <f aca="false">Assumptions!$B$37</f>
        <v>1450</v>
      </c>
      <c r="F10" s="38" t="n">
        <f aca="false">Assumptions!$B$37</f>
        <v>1450</v>
      </c>
      <c r="G10" s="38" t="n">
        <f aca="false">Assumptions!$B$37</f>
        <v>1450</v>
      </c>
      <c r="H10" s="38" t="n">
        <f aca="false">Assumptions!$B$37</f>
        <v>1450</v>
      </c>
      <c r="I10" s="38" t="n">
        <f aca="false">Assumptions!$B$37</f>
        <v>1450</v>
      </c>
      <c r="J10" s="38" t="n">
        <f aca="false">Assumptions!$B$37</f>
        <v>1450</v>
      </c>
      <c r="K10" s="38" t="n">
        <f aca="false">Assumptions!$B$37</f>
        <v>1450</v>
      </c>
      <c r="L10" s="38" t="n">
        <f aca="false">Assumptions!$B$37</f>
        <v>1450</v>
      </c>
      <c r="M10" s="38" t="n">
        <f aca="false">Assumptions!$B$37</f>
        <v>1450</v>
      </c>
      <c r="N10" s="38" t="n">
        <f aca="false">Assumptions!$B$37</f>
        <v>1450</v>
      </c>
    </row>
    <row r="11" customFormat="false" ht="15" hidden="false" customHeight="false" outlineLevel="0" collapsed="false">
      <c r="A11" s="5" t="s">
        <v>123</v>
      </c>
      <c r="C11" s="37" t="n">
        <f aca="false">Assumptions!$B$9+(Assumptions!$B$10-Assumptions!$B$9)*(0)/11</f>
        <v>1.06</v>
      </c>
      <c r="D11" s="37" t="n">
        <f aca="false">Assumptions!$B$9+(Assumptions!$B$10-Assumptions!$B$9)*(1)/11</f>
        <v>1.05454545454545</v>
      </c>
      <c r="E11" s="37" t="n">
        <f aca="false">Assumptions!$B$9+(Assumptions!$B$10-Assumptions!$B$9)*(2)/11</f>
        <v>1.04909090909091</v>
      </c>
      <c r="F11" s="37" t="n">
        <f aca="false">Assumptions!$B$9+(Assumptions!$B$10-Assumptions!$B$9)*(3)/11</f>
        <v>1.04363636363636</v>
      </c>
      <c r="G11" s="37" t="n">
        <f aca="false">Assumptions!$B$9+(Assumptions!$B$10-Assumptions!$B$9)*(4)/11</f>
        <v>1.03818181818182</v>
      </c>
      <c r="H11" s="37" t="n">
        <f aca="false">Assumptions!$B$9+(Assumptions!$B$10-Assumptions!$B$9)*(5)/11</f>
        <v>1.03272727272727</v>
      </c>
      <c r="I11" s="37" t="n">
        <f aca="false">Assumptions!$B$9+(Assumptions!$B$10-Assumptions!$B$9)*(6)/11</f>
        <v>1.02727272727273</v>
      </c>
      <c r="J11" s="37" t="n">
        <f aca="false">Assumptions!$B$9+(Assumptions!$B$10-Assumptions!$B$9)*(7)/11</f>
        <v>1.02181818181818</v>
      </c>
      <c r="K11" s="37" t="n">
        <f aca="false">Assumptions!$B$9+(Assumptions!$B$10-Assumptions!$B$9)*(8)/11</f>
        <v>1.01636363636364</v>
      </c>
      <c r="L11" s="37" t="n">
        <f aca="false">Assumptions!$B$9+(Assumptions!$B$10-Assumptions!$B$9)*(9)/11</f>
        <v>1.01090909090909</v>
      </c>
      <c r="M11" s="37" t="n">
        <f aca="false">Assumptions!$B$9+(Assumptions!$B$10-Assumptions!$B$9)*(10)/11</f>
        <v>1.00545454545455</v>
      </c>
      <c r="N11" s="37" t="n">
        <f aca="false">Assumptions!$B$9+(Assumptions!$B$10-Assumptions!$B$9)*(11)/11</f>
        <v>1</v>
      </c>
    </row>
    <row r="12" customFormat="false" ht="15" hidden="false" customHeight="false" outlineLevel="0" collapsed="false">
      <c r="A12" s="10" t="s">
        <v>124</v>
      </c>
      <c r="C12" s="39" t="n">
        <f aca="false">Assumptions!$B$46*C11</f>
        <v>1208.4</v>
      </c>
      <c r="D12" s="39" t="n">
        <f aca="false">Assumptions!$B$46*D11</f>
        <v>1202.18181818182</v>
      </c>
      <c r="E12" s="39" t="n">
        <f aca="false">Assumptions!$B$46*E11</f>
        <v>1195.96363636364</v>
      </c>
      <c r="F12" s="39" t="n">
        <f aca="false">Assumptions!$B$46*F11</f>
        <v>1189.74545454545</v>
      </c>
      <c r="G12" s="39" t="n">
        <f aca="false">Assumptions!$B$46*G11</f>
        <v>1183.52727272727</v>
      </c>
      <c r="H12" s="39" t="n">
        <f aca="false">Assumptions!$B$46*H11</f>
        <v>1177.30909090909</v>
      </c>
      <c r="I12" s="39" t="n">
        <f aca="false">Assumptions!$B$46*I11</f>
        <v>1171.09090909091</v>
      </c>
      <c r="J12" s="39" t="n">
        <f aca="false">Assumptions!$B$46*J11</f>
        <v>1164.87272727273</v>
      </c>
      <c r="K12" s="39" t="n">
        <f aca="false">Assumptions!$B$46*K11</f>
        <v>1158.65454545455</v>
      </c>
      <c r="L12" s="39" t="n">
        <f aca="false">Assumptions!$B$46*L11</f>
        <v>1152.43636363636</v>
      </c>
      <c r="M12" s="39" t="n">
        <f aca="false">Assumptions!$B$46*M11</f>
        <v>1146.21818181818</v>
      </c>
      <c r="N12" s="39" t="n">
        <f aca="false">Assumptions!$B$46*N11</f>
        <v>1140</v>
      </c>
    </row>
    <row r="14" customFormat="false" ht="15" hidden="false" customHeight="false" outlineLevel="0" collapsed="false">
      <c r="A14" s="16" t="s">
        <v>125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customFormat="false" ht="15" hidden="false" customHeight="false" outlineLevel="0" collapsed="false">
      <c r="A15" s="5" t="s">
        <v>126</v>
      </c>
      <c r="C15" s="38" t="n">
        <f aca="false">C6*C10*C9*Assumptions!$B$38</f>
        <v>4759261.92</v>
      </c>
      <c r="D15" s="38" t="n">
        <f aca="false">D6*D10*D9*Assumptions!$B$38</f>
        <v>4806854.5392</v>
      </c>
      <c r="E15" s="38" t="n">
        <f aca="false">E6*E10*E9*Assumptions!$B$38</f>
        <v>4854923.084592</v>
      </c>
      <c r="F15" s="38" t="n">
        <f aca="false">F6*F10*F9*Assumptions!$B$38</f>
        <v>4903472.31543792</v>
      </c>
      <c r="G15" s="38" t="n">
        <f aca="false">G6*G10*G9*Assumptions!$B$38</f>
        <v>4952507.0385923</v>
      </c>
      <c r="H15" s="38" t="n">
        <f aca="false">H6*H10*H9*Assumptions!$B$38</f>
        <v>5002032.10897822</v>
      </c>
      <c r="I15" s="38" t="n">
        <f aca="false">I6*I10*I9*Assumptions!$B$38</f>
        <v>5052052.43006801</v>
      </c>
      <c r="J15" s="38" t="n">
        <f aca="false">J6*J10*J9*Assumptions!$B$38</f>
        <v>5102572.95436869</v>
      </c>
      <c r="K15" s="38" t="n">
        <f aca="false">K6*K10*K9*Assumptions!$B$38</f>
        <v>5153598.68391237</v>
      </c>
      <c r="L15" s="38" t="n">
        <f aca="false">L6*L10*L9*Assumptions!$B$38</f>
        <v>5205134.6707515</v>
      </c>
      <c r="M15" s="38" t="n">
        <f aca="false">M6*M10*M9*Assumptions!$B$38</f>
        <v>5257186.01745901</v>
      </c>
      <c r="N15" s="38" t="n">
        <f aca="false">N6*N10*N9*Assumptions!$B$38</f>
        <v>5309757.8776336</v>
      </c>
      <c r="O15" s="38" t="n">
        <f aca="false">SUM(C15:N15)</f>
        <v>60359353.6409936</v>
      </c>
    </row>
    <row r="16" customFormat="false" ht="15" hidden="false" customHeight="false" outlineLevel="0" collapsed="false">
      <c r="A16" s="5" t="s">
        <v>127</v>
      </c>
      <c r="C16" s="38" t="n">
        <f aca="false">C6*Assumptions!$B$39</f>
        <v>0</v>
      </c>
      <c r="D16" s="38" t="n">
        <f aca="false">D6*Assumptions!$B$39</f>
        <v>0</v>
      </c>
      <c r="E16" s="38" t="n">
        <f aca="false">E6*Assumptions!$B$39</f>
        <v>0</v>
      </c>
      <c r="F16" s="38" t="n">
        <f aca="false">F6*Assumptions!$B$39</f>
        <v>0</v>
      </c>
      <c r="G16" s="38" t="n">
        <f aca="false">G6*Assumptions!$B$39</f>
        <v>0</v>
      </c>
      <c r="H16" s="38" t="n">
        <f aca="false">H6*Assumptions!$B$39</f>
        <v>0</v>
      </c>
      <c r="I16" s="38" t="n">
        <f aca="false">I6*Assumptions!$B$39</f>
        <v>0</v>
      </c>
      <c r="J16" s="38" t="n">
        <f aca="false">J6*Assumptions!$B$39</f>
        <v>0</v>
      </c>
      <c r="K16" s="38" t="n">
        <f aca="false">K6*Assumptions!$B$39</f>
        <v>0</v>
      </c>
      <c r="L16" s="38" t="n">
        <f aca="false">L6*Assumptions!$B$39</f>
        <v>0</v>
      </c>
      <c r="M16" s="38" t="n">
        <f aca="false">M6*Assumptions!$B$39</f>
        <v>0</v>
      </c>
      <c r="N16" s="38" t="n">
        <f aca="false">N6*Assumptions!$B$39</f>
        <v>0</v>
      </c>
      <c r="O16" s="38" t="n">
        <f aca="false">SUM(C16:N16)</f>
        <v>0</v>
      </c>
    </row>
    <row r="17" customFormat="false" ht="15" hidden="false" customHeight="false" outlineLevel="0" collapsed="false">
      <c r="A17" s="5" t="s">
        <v>128</v>
      </c>
      <c r="C17" s="38" t="n">
        <f aca="false">C6*Assumptions!$B$40</f>
        <v>0</v>
      </c>
      <c r="D17" s="38" t="n">
        <f aca="false">D6*Assumptions!$B$40</f>
        <v>0</v>
      </c>
      <c r="E17" s="38" t="n">
        <f aca="false">E6*Assumptions!$B$40</f>
        <v>0</v>
      </c>
      <c r="F17" s="38" t="n">
        <f aca="false">F6*Assumptions!$B$40</f>
        <v>0</v>
      </c>
      <c r="G17" s="38" t="n">
        <f aca="false">G6*Assumptions!$B$40</f>
        <v>0</v>
      </c>
      <c r="H17" s="38" t="n">
        <f aca="false">H6*Assumptions!$B$40</f>
        <v>0</v>
      </c>
      <c r="I17" s="38" t="n">
        <f aca="false">I6*Assumptions!$B$40</f>
        <v>0</v>
      </c>
      <c r="J17" s="38" t="n">
        <f aca="false">J6*Assumptions!$B$40</f>
        <v>0</v>
      </c>
      <c r="K17" s="38" t="n">
        <f aca="false">K6*Assumptions!$B$40</f>
        <v>0</v>
      </c>
      <c r="L17" s="38" t="n">
        <f aca="false">L6*Assumptions!$B$40</f>
        <v>0</v>
      </c>
      <c r="M17" s="38" t="n">
        <f aca="false">M6*Assumptions!$B$40</f>
        <v>0</v>
      </c>
      <c r="N17" s="38" t="n">
        <f aca="false">N6*Assumptions!$B$40</f>
        <v>0</v>
      </c>
      <c r="O17" s="38" t="n">
        <f aca="false">SUM(C17:N17)</f>
        <v>0</v>
      </c>
    </row>
    <row r="18" customFormat="false" ht="15" hidden="false" customHeight="false" outlineLevel="0" collapsed="false">
      <c r="A18" s="5" t="s">
        <v>129</v>
      </c>
      <c r="C18" s="38" t="n">
        <f aca="false">C6*Assumptions!$B$41</f>
        <v>0</v>
      </c>
      <c r="D18" s="38" t="n">
        <f aca="false">D6*Assumptions!$B$41</f>
        <v>0</v>
      </c>
      <c r="E18" s="38" t="n">
        <f aca="false">E6*Assumptions!$B$41</f>
        <v>0</v>
      </c>
      <c r="F18" s="38" t="n">
        <f aca="false">F6*Assumptions!$B$41</f>
        <v>0</v>
      </c>
      <c r="G18" s="38" t="n">
        <f aca="false">G6*Assumptions!$B$41</f>
        <v>0</v>
      </c>
      <c r="H18" s="38" t="n">
        <f aca="false">H6*Assumptions!$B$41</f>
        <v>0</v>
      </c>
      <c r="I18" s="38" t="n">
        <f aca="false">I6*Assumptions!$B$41</f>
        <v>0</v>
      </c>
      <c r="J18" s="38" t="n">
        <f aca="false">J6*Assumptions!$B$41</f>
        <v>0</v>
      </c>
      <c r="K18" s="38" t="n">
        <f aca="false">K6*Assumptions!$B$41</f>
        <v>0</v>
      </c>
      <c r="L18" s="38" t="n">
        <f aca="false">L6*Assumptions!$B$41</f>
        <v>0</v>
      </c>
      <c r="M18" s="38" t="n">
        <f aca="false">M6*Assumptions!$B$41</f>
        <v>0</v>
      </c>
      <c r="N18" s="38" t="n">
        <f aca="false">N6*Assumptions!$B$41</f>
        <v>0</v>
      </c>
      <c r="O18" s="38" t="n">
        <f aca="false">SUM(C18:N18)</f>
        <v>0</v>
      </c>
    </row>
    <row r="19" customFormat="false" ht="15" hidden="false" customHeight="false" outlineLevel="0" collapsed="false">
      <c r="A19" s="40" t="s">
        <v>130</v>
      </c>
      <c r="C19" s="41" t="n">
        <f aca="false">C6*C10*C9*Assumptions!$B$42</f>
        <v>0</v>
      </c>
      <c r="D19" s="41" t="n">
        <f aca="false">D6*D10*D9*Assumptions!$B$42</f>
        <v>0</v>
      </c>
      <c r="E19" s="41" t="n">
        <f aca="false">E6*E10*E9*Assumptions!$B$42</f>
        <v>0</v>
      </c>
      <c r="F19" s="41" t="n">
        <f aca="false">F6*F10*F9*Assumptions!$B$42</f>
        <v>0</v>
      </c>
      <c r="G19" s="41" t="n">
        <f aca="false">G6*G10*G9*Assumptions!$B$42</f>
        <v>0</v>
      </c>
      <c r="H19" s="41" t="n">
        <f aca="false">H6*H10*H9*Assumptions!$B$42</f>
        <v>0</v>
      </c>
      <c r="I19" s="41" t="n">
        <f aca="false">I6*I10*I9*Assumptions!$B$42</f>
        <v>0</v>
      </c>
      <c r="J19" s="41" t="n">
        <f aca="false">J6*J10*J9*Assumptions!$B$42</f>
        <v>0</v>
      </c>
      <c r="K19" s="41" t="n">
        <f aca="false">K6*K10*K9*Assumptions!$B$42</f>
        <v>0</v>
      </c>
      <c r="L19" s="41" t="n">
        <f aca="false">L6*L10*L9*Assumptions!$B$42</f>
        <v>0</v>
      </c>
      <c r="M19" s="41" t="n">
        <f aca="false">M6*M10*M9*Assumptions!$B$42</f>
        <v>0</v>
      </c>
      <c r="N19" s="41" t="n">
        <f aca="false">N6*N10*N9*Assumptions!$B$42</f>
        <v>0</v>
      </c>
      <c r="O19" s="41" t="n">
        <f aca="false">SUM(C19:N19)</f>
        <v>0</v>
      </c>
    </row>
    <row r="20" customFormat="false" ht="15" hidden="false" customHeight="false" outlineLevel="0" collapsed="false">
      <c r="A20" s="40" t="s">
        <v>131</v>
      </c>
      <c r="C20" s="41" t="n">
        <f aca="false">C6*C12</f>
        <v>4371991.2</v>
      </c>
      <c r="D20" s="41" t="n">
        <f aca="false">D6*D12</f>
        <v>4392988.75636364</v>
      </c>
      <c r="E20" s="41" t="n">
        <f aca="false">E6*E12</f>
        <v>4413969.06473455</v>
      </c>
      <c r="F20" s="41" t="n">
        <f aca="false">F6*F12</f>
        <v>4434929.68039724</v>
      </c>
      <c r="G20" s="41" t="n">
        <f aca="false">G6*G12</f>
        <v>4455868.11146671</v>
      </c>
      <c r="H20" s="41" t="n">
        <f aca="false">H6*H12</f>
        <v>4476781.81818953</v>
      </c>
      <c r="I20" s="41" t="n">
        <f aca="false">I6*I12</f>
        <v>4497668.21223566</v>
      </c>
      <c r="J20" s="41" t="n">
        <f aca="false">J6*J12</f>
        <v>4518524.65598089</v>
      </c>
      <c r="K20" s="41" t="n">
        <f aca="false">K6*K12</f>
        <v>4539348.46177981</v>
      </c>
      <c r="L20" s="41" t="n">
        <f aca="false">L6*L12</f>
        <v>4560136.89122911</v>
      </c>
      <c r="M20" s="41" t="n">
        <f aca="false">M6*M12</f>
        <v>4580887.15442121</v>
      </c>
      <c r="N20" s="41" t="n">
        <f aca="false">N6*N12</f>
        <v>4601596.40918803</v>
      </c>
      <c r="O20" s="41" t="n">
        <f aca="false">SUM(C20:N20)</f>
        <v>53844690.4159864</v>
      </c>
    </row>
    <row r="21" customFormat="false" ht="15" hidden="false" customHeight="false" outlineLevel="0" collapsed="false">
      <c r="A21" s="40" t="s">
        <v>132</v>
      </c>
      <c r="C21" s="41" t="n">
        <f aca="false">C19-C20</f>
        <v>-4371991.2</v>
      </c>
      <c r="D21" s="41" t="n">
        <f aca="false">D19-D20</f>
        <v>-4392988.75636364</v>
      </c>
      <c r="E21" s="41" t="n">
        <f aca="false">E19-E20</f>
        <v>-4413969.06473455</v>
      </c>
      <c r="F21" s="41" t="n">
        <f aca="false">F19-F20</f>
        <v>-4434929.68039724</v>
      </c>
      <c r="G21" s="41" t="n">
        <f aca="false">G19-G20</f>
        <v>-4455868.11146671</v>
      </c>
      <c r="H21" s="41" t="n">
        <f aca="false">H19-H20</f>
        <v>-4476781.81818953</v>
      </c>
      <c r="I21" s="41" t="n">
        <f aca="false">I19-I20</f>
        <v>-4497668.21223566</v>
      </c>
      <c r="J21" s="41" t="n">
        <f aca="false">J19-J20</f>
        <v>-4518524.65598089</v>
      </c>
      <c r="K21" s="41" t="n">
        <f aca="false">K19-K20</f>
        <v>-4539348.46177981</v>
      </c>
      <c r="L21" s="41" t="n">
        <f aca="false">L19-L20</f>
        <v>-4560136.89122911</v>
      </c>
      <c r="M21" s="41" t="n">
        <f aca="false">M19-M20</f>
        <v>-4580887.15442121</v>
      </c>
      <c r="N21" s="41" t="n">
        <f aca="false">N19-N20</f>
        <v>-4601596.40918803</v>
      </c>
      <c r="O21" s="41" t="n">
        <f aca="false">SUM(C21:N21)</f>
        <v>-53844690.4159864</v>
      </c>
    </row>
    <row r="22" customFormat="false" ht="15" hidden="false" customHeight="false" outlineLevel="0" collapsed="false">
      <c r="A22" s="5" t="s">
        <v>133</v>
      </c>
      <c r="C22" s="38" t="n">
        <f aca="false">IF(Assumptions!$B$33=1,0,IF(C21&gt;=0,C21*Assumptions!$B$43,C21*Assumptions!$B$44*Assumptions!$B$45))</f>
        <v>0</v>
      </c>
      <c r="D22" s="38" t="n">
        <f aca="false">IF(Assumptions!$B$33=1,0,IF(D21&gt;=0,D21*Assumptions!$B$43,D21*Assumptions!$B$44*Assumptions!$B$45))</f>
        <v>0</v>
      </c>
      <c r="E22" s="38" t="n">
        <f aca="false">IF(Assumptions!$B$33=1,0,IF(E21&gt;=0,E21*Assumptions!$B$43,E21*Assumptions!$B$44*Assumptions!$B$45))</f>
        <v>0</v>
      </c>
      <c r="F22" s="38" t="n">
        <f aca="false">IF(Assumptions!$B$33=1,0,IF(F21&gt;=0,F21*Assumptions!$B$43,F21*Assumptions!$B$44*Assumptions!$B$45))</f>
        <v>0</v>
      </c>
      <c r="G22" s="38" t="n">
        <f aca="false">IF(Assumptions!$B$33=1,0,IF(G21&gt;=0,G21*Assumptions!$B$43,G21*Assumptions!$B$44*Assumptions!$B$45))</f>
        <v>0</v>
      </c>
      <c r="H22" s="38" t="n">
        <f aca="false">IF(Assumptions!$B$33=1,0,IF(H21&gt;=0,H21*Assumptions!$B$43,H21*Assumptions!$B$44*Assumptions!$B$45))</f>
        <v>0</v>
      </c>
      <c r="I22" s="38" t="n">
        <f aca="false">IF(Assumptions!$B$33=1,0,IF(I21&gt;=0,I21*Assumptions!$B$43,I21*Assumptions!$B$44*Assumptions!$B$45))</f>
        <v>0</v>
      </c>
      <c r="J22" s="38" t="n">
        <f aca="false">IF(Assumptions!$B$33=1,0,IF(J21&gt;=0,J21*Assumptions!$B$43,J21*Assumptions!$B$44*Assumptions!$B$45))</f>
        <v>0</v>
      </c>
      <c r="K22" s="38" t="n">
        <f aca="false">IF(Assumptions!$B$33=1,0,IF(K21&gt;=0,K21*Assumptions!$B$43,K21*Assumptions!$B$44*Assumptions!$B$45))</f>
        <v>0</v>
      </c>
      <c r="L22" s="38" t="n">
        <f aca="false">IF(Assumptions!$B$33=1,0,IF(L21&gt;=0,L21*Assumptions!$B$43,L21*Assumptions!$B$44*Assumptions!$B$45))</f>
        <v>0</v>
      </c>
      <c r="M22" s="38" t="n">
        <f aca="false">IF(Assumptions!$B$33=1,0,IF(M21&gt;=0,M21*Assumptions!$B$43,M21*Assumptions!$B$44*Assumptions!$B$45))</f>
        <v>0</v>
      </c>
      <c r="N22" s="38" t="n">
        <f aca="false">IF(Assumptions!$B$33=1,0,IF(N21&gt;=0,N21*Assumptions!$B$43,N21*Assumptions!$B$44*Assumptions!$B$45))</f>
        <v>0</v>
      </c>
      <c r="O22" s="38" t="n">
        <f aca="false">SUM(C22:N22)</f>
        <v>0</v>
      </c>
    </row>
    <row r="23" customFormat="false" ht="15" hidden="false" customHeight="false" outlineLevel="0" collapsed="false">
      <c r="A23" s="10" t="s">
        <v>134</v>
      </c>
      <c r="C23" s="39" t="n">
        <f aca="false">C15+C16+C17+C18+C22</f>
        <v>4759261.92</v>
      </c>
      <c r="D23" s="39" t="n">
        <f aca="false">D15+D16+D17+D18+D22</f>
        <v>4806854.5392</v>
      </c>
      <c r="E23" s="39" t="n">
        <f aca="false">E15+E16+E17+E18+E22</f>
        <v>4854923.084592</v>
      </c>
      <c r="F23" s="39" t="n">
        <f aca="false">F15+F16+F17+F18+F22</f>
        <v>4903472.31543792</v>
      </c>
      <c r="G23" s="39" t="n">
        <f aca="false">G15+G16+G17+G18+G22</f>
        <v>4952507.0385923</v>
      </c>
      <c r="H23" s="39" t="n">
        <f aca="false">H15+H16+H17+H18+H22</f>
        <v>5002032.10897822</v>
      </c>
      <c r="I23" s="39" t="n">
        <f aca="false">I15+I16+I17+I18+I22</f>
        <v>5052052.43006801</v>
      </c>
      <c r="J23" s="39" t="n">
        <f aca="false">J15+J16+J17+J18+J22</f>
        <v>5102572.95436869</v>
      </c>
      <c r="K23" s="39" t="n">
        <f aca="false">K15+K16+K17+K18+K22</f>
        <v>5153598.68391237</v>
      </c>
      <c r="L23" s="39" t="n">
        <f aca="false">L15+L16+L17+L18+L22</f>
        <v>5205134.6707515</v>
      </c>
      <c r="M23" s="39" t="n">
        <f aca="false">M15+M16+M17+M18+M22</f>
        <v>5257186.01745901</v>
      </c>
      <c r="N23" s="39" t="n">
        <f aca="false">N15+N16+N17+N18+N22</f>
        <v>5309757.8776336</v>
      </c>
      <c r="O23" s="39" t="n">
        <f aca="false">SUM(C23:N23)</f>
        <v>60359353.6409936</v>
      </c>
    </row>
    <row r="25" customFormat="false" ht="15" hidden="false" customHeight="false" outlineLevel="0" collapsed="false">
      <c r="A25" s="16" t="s">
        <v>135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customFormat="false" ht="15" hidden="false" customHeight="false" outlineLevel="0" collapsed="false">
      <c r="A26" s="5" t="s">
        <v>136</v>
      </c>
      <c r="C26" s="38" t="n">
        <f aca="false">Assumptions!$B$33*C20</f>
        <v>4371991.2</v>
      </c>
      <c r="D26" s="38" t="n">
        <f aca="false">Assumptions!$B$33*D20</f>
        <v>4392988.75636364</v>
      </c>
      <c r="E26" s="38" t="n">
        <f aca="false">Assumptions!$B$33*E20</f>
        <v>4413969.06473455</v>
      </c>
      <c r="F26" s="38" t="n">
        <f aca="false">Assumptions!$B$33*F20</f>
        <v>4434929.68039724</v>
      </c>
      <c r="G26" s="38" t="n">
        <f aca="false">Assumptions!$B$33*G20</f>
        <v>4455868.11146671</v>
      </c>
      <c r="H26" s="38" t="n">
        <f aca="false">Assumptions!$B$33*H20</f>
        <v>4476781.81818953</v>
      </c>
      <c r="I26" s="38" t="n">
        <f aca="false">Assumptions!$B$33*I20</f>
        <v>4497668.21223566</v>
      </c>
      <c r="J26" s="38" t="n">
        <f aca="false">Assumptions!$B$33*J20</f>
        <v>4518524.65598089</v>
      </c>
      <c r="K26" s="38" t="n">
        <f aca="false">Assumptions!$B$33*K20</f>
        <v>4539348.46177981</v>
      </c>
      <c r="L26" s="38" t="n">
        <f aca="false">Assumptions!$B$33*L20</f>
        <v>4560136.89122911</v>
      </c>
      <c r="M26" s="38" t="n">
        <f aca="false">Assumptions!$B$33*M20</f>
        <v>4580887.15442121</v>
      </c>
      <c r="N26" s="38" t="n">
        <f aca="false">Assumptions!$B$33*N20</f>
        <v>4601596.40918803</v>
      </c>
      <c r="O26" s="38" t="n">
        <f aca="false">SUM(C26:N26)</f>
        <v>53844690.4159864</v>
      </c>
    </row>
    <row r="27" customFormat="false" ht="15" hidden="false" customHeight="false" outlineLevel="0" collapsed="false">
      <c r="A27" s="5" t="s">
        <v>137</v>
      </c>
      <c r="C27" s="38" t="n">
        <f aca="false">Assumptions!$B$33*C6*Assumptions!$B$47</f>
        <v>126630</v>
      </c>
      <c r="D27" s="38" t="n">
        <f aca="false">Assumptions!$B$33*D6*Assumptions!$B$47</f>
        <v>127896.3</v>
      </c>
      <c r="E27" s="38" t="n">
        <f aca="false">Assumptions!$B$33*E6*Assumptions!$B$47</f>
        <v>129175.263</v>
      </c>
      <c r="F27" s="38" t="n">
        <f aca="false">Assumptions!$B$33*F6*Assumptions!$B$47</f>
        <v>130467.01563</v>
      </c>
      <c r="G27" s="38" t="n">
        <f aca="false">Assumptions!$B$33*G6*Assumptions!$B$47</f>
        <v>131771.6857863</v>
      </c>
      <c r="H27" s="38" t="n">
        <f aca="false">Assumptions!$B$33*H6*Assumptions!$B$47</f>
        <v>133089.402644163</v>
      </c>
      <c r="I27" s="38" t="n">
        <f aca="false">Assumptions!$B$33*I6*Assumptions!$B$47</f>
        <v>134420.296670605</v>
      </c>
      <c r="J27" s="38" t="n">
        <f aca="false">Assumptions!$B$33*J6*Assumptions!$B$47</f>
        <v>135764.499637311</v>
      </c>
      <c r="K27" s="38" t="n">
        <f aca="false">Assumptions!$B$33*K6*Assumptions!$B$47</f>
        <v>137122.144633684</v>
      </c>
      <c r="L27" s="38" t="n">
        <f aca="false">Assumptions!$B$33*L6*Assumptions!$B$47</f>
        <v>138493.366080021</v>
      </c>
      <c r="M27" s="38" t="n">
        <f aca="false">Assumptions!$B$33*M6*Assumptions!$B$47</f>
        <v>139878.299740821</v>
      </c>
      <c r="N27" s="38" t="n">
        <f aca="false">Assumptions!$B$33*N6*Assumptions!$B$47</f>
        <v>141277.082738229</v>
      </c>
      <c r="O27" s="38" t="n">
        <f aca="false">SUM(C27:N27)</f>
        <v>1605985.35656113</v>
      </c>
    </row>
    <row r="28" customFormat="false" ht="15" hidden="false" customHeight="false" outlineLevel="0" collapsed="false">
      <c r="A28" s="5" t="s">
        <v>138</v>
      </c>
      <c r="C28" s="38" t="n">
        <f aca="false">-Assumptions!$B$33*C6*Assumptions!$B$48</f>
        <v>-94068</v>
      </c>
      <c r="D28" s="38" t="n">
        <f aca="false">-Assumptions!$B$33*D6*Assumptions!$B$48</f>
        <v>-95008.68</v>
      </c>
      <c r="E28" s="38" t="n">
        <f aca="false">-Assumptions!$B$33*E6*Assumptions!$B$48</f>
        <v>-95958.7668</v>
      </c>
      <c r="F28" s="38" t="n">
        <f aca="false">-Assumptions!$B$33*F6*Assumptions!$B$48</f>
        <v>-96918.354468</v>
      </c>
      <c r="G28" s="38" t="n">
        <f aca="false">-Assumptions!$B$33*G6*Assumptions!$B$48</f>
        <v>-97887.53801268</v>
      </c>
      <c r="H28" s="38" t="n">
        <f aca="false">-Assumptions!$B$33*H6*Assumptions!$B$48</f>
        <v>-98866.4133928068</v>
      </c>
      <c r="I28" s="38" t="n">
        <f aca="false">-Assumptions!$B$33*I6*Assumptions!$B$48</f>
        <v>-99855.0775267349</v>
      </c>
      <c r="J28" s="38" t="n">
        <f aca="false">-Assumptions!$B$33*J6*Assumptions!$B$48</f>
        <v>-100853.628302002</v>
      </c>
      <c r="K28" s="38" t="n">
        <f aca="false">-Assumptions!$B$33*K6*Assumptions!$B$48</f>
        <v>-101862.164585022</v>
      </c>
      <c r="L28" s="38" t="n">
        <f aca="false">-Assumptions!$B$33*L6*Assumptions!$B$48</f>
        <v>-102880.786230872</v>
      </c>
      <c r="M28" s="38" t="n">
        <f aca="false">-Assumptions!$B$33*M6*Assumptions!$B$48</f>
        <v>-103909.594093181</v>
      </c>
      <c r="N28" s="38" t="n">
        <f aca="false">-Assumptions!$B$33*N6*Assumptions!$B$48</f>
        <v>-104948.690034113</v>
      </c>
      <c r="O28" s="38" t="n">
        <f aca="false">SUM(C28:N28)</f>
        <v>-1193017.69344541</v>
      </c>
    </row>
    <row r="29" customFormat="false" ht="15" hidden="false" customHeight="false" outlineLevel="0" collapsed="false">
      <c r="A29" s="10" t="s">
        <v>139</v>
      </c>
      <c r="C29" s="39" t="n">
        <f aca="false">C26+C27+C28</f>
        <v>4404553.2</v>
      </c>
      <c r="D29" s="39" t="n">
        <f aca="false">D26+D27+D28</f>
        <v>4425876.37636364</v>
      </c>
      <c r="E29" s="39" t="n">
        <f aca="false">E26+E27+E28</f>
        <v>4447185.56093455</v>
      </c>
      <c r="F29" s="39" t="n">
        <f aca="false">F26+F27+F28</f>
        <v>4468478.34155924</v>
      </c>
      <c r="G29" s="39" t="n">
        <f aca="false">G26+G27+G28</f>
        <v>4489752.25924033</v>
      </c>
      <c r="H29" s="39" t="n">
        <f aca="false">H26+H27+H28</f>
        <v>4511004.80744089</v>
      </c>
      <c r="I29" s="39" t="n">
        <f aca="false">I26+I27+I28</f>
        <v>4532233.43137953</v>
      </c>
      <c r="J29" s="39" t="n">
        <f aca="false">J26+J27+J28</f>
        <v>4553435.5273162</v>
      </c>
      <c r="K29" s="39" t="n">
        <f aca="false">K26+K27+K28</f>
        <v>4574608.44182847</v>
      </c>
      <c r="L29" s="39" t="n">
        <f aca="false">L26+L27+L28</f>
        <v>4595749.47107825</v>
      </c>
      <c r="M29" s="39" t="n">
        <f aca="false">M26+M27+M28</f>
        <v>4616855.86006885</v>
      </c>
      <c r="N29" s="39" t="n">
        <f aca="false">N26+N27+N28</f>
        <v>4637924.80189215</v>
      </c>
      <c r="O29" s="39" t="n">
        <f aca="false">SUM(C29:N29)</f>
        <v>54257658.0791021</v>
      </c>
    </row>
    <row r="31" customFormat="false" ht="15" hidden="false" customHeight="false" outlineLevel="0" collapsed="false">
      <c r="A31" s="16" t="s">
        <v>140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customFormat="false" ht="15" hidden="false" customHeight="false" outlineLevel="0" collapsed="false">
      <c r="A32" s="10" t="s">
        <v>141</v>
      </c>
      <c r="C32" s="39" t="n">
        <f aca="false">C23-C29</f>
        <v>354708.720000001</v>
      </c>
      <c r="D32" s="39" t="n">
        <f aca="false">D23-D29</f>
        <v>380978.162836364</v>
      </c>
      <c r="E32" s="39" t="n">
        <f aca="false">E23-E29</f>
        <v>407737.523657456</v>
      </c>
      <c r="F32" s="39" t="n">
        <f aca="false">F23-F29</f>
        <v>434993.973878685</v>
      </c>
      <c r="G32" s="39" t="n">
        <f aca="false">G23-G29</f>
        <v>462754.779351972</v>
      </c>
      <c r="H32" s="39" t="n">
        <f aca="false">H23-H29</f>
        <v>491027.301537339</v>
      </c>
      <c r="I32" s="39" t="n">
        <f aca="false">I23-I29</f>
        <v>519818.998688477</v>
      </c>
      <c r="J32" s="39" t="n">
        <f aca="false">J23-J29</f>
        <v>549137.427052484</v>
      </c>
      <c r="K32" s="39" t="n">
        <f aca="false">K23-K29</f>
        <v>578990.242083903</v>
      </c>
      <c r="L32" s="39" t="n">
        <f aca="false">L23-L29</f>
        <v>609385.199673244</v>
      </c>
      <c r="M32" s="39" t="n">
        <f aca="false">M23-M29</f>
        <v>640330.157390163</v>
      </c>
      <c r="N32" s="39" t="n">
        <f aca="false">N23-N29</f>
        <v>671833.075741454</v>
      </c>
      <c r="O32" s="39" t="n">
        <f aca="false">SUM(C32:N32)</f>
        <v>6101695.56189154</v>
      </c>
    </row>
    <row r="33" customFormat="false" ht="15" hidden="false" customHeight="false" outlineLevel="0" collapsed="false">
      <c r="A33" s="5" t="s">
        <v>142</v>
      </c>
      <c r="C33" s="42" t="n">
        <f aca="false">IF(C6=0,0,C20/(C6*C10*C9))</f>
        <v>0.826765188834154</v>
      </c>
      <c r="D33" s="42" t="n">
        <f aca="false">IF(D6=0,0,D20/(D6*D10*D9))</f>
        <v>0.822510822510822</v>
      </c>
      <c r="E33" s="42" t="n">
        <f aca="false">IF(E6=0,0,E20/(E6*E10*E9))</f>
        <v>0.81825645618749</v>
      </c>
      <c r="F33" s="42" t="n">
        <f aca="false">IF(F6=0,0,F20/(F6*F10*F9))</f>
        <v>0.814002089864159</v>
      </c>
      <c r="G33" s="42" t="n">
        <f aca="false">IF(G6=0,0,G20/(G6*G10*G9))</f>
        <v>0.809747723540827</v>
      </c>
      <c r="H33" s="42" t="n">
        <f aca="false">IF(H6=0,0,H20/(H6*H10*H9))</f>
        <v>0.805493357217495</v>
      </c>
      <c r="I33" s="42" t="n">
        <f aca="false">IF(I6=0,0,I20/(I6*I10*I9))</f>
        <v>0.801238990894163</v>
      </c>
      <c r="J33" s="42" t="n">
        <f aca="false">IF(J6=0,0,J20/(J6*J10*J9))</f>
        <v>0.796984624570831</v>
      </c>
      <c r="K33" s="42" t="n">
        <f aca="false">IF(K6=0,0,K20/(K6*K10*K9))</f>
        <v>0.792730258247499</v>
      </c>
      <c r="L33" s="42" t="n">
        <f aca="false">IF(L6=0,0,L20/(L6*L10*L9))</f>
        <v>0.788475891924168</v>
      </c>
      <c r="M33" s="42" t="n">
        <f aca="false">IF(M6=0,0,M20/(M6*M10*M9))</f>
        <v>0.784221525600836</v>
      </c>
      <c r="N33" s="42" t="n">
        <f aca="false">IF(N6=0,0,N20/(N6*N10*N9))</f>
        <v>0.779967159277504</v>
      </c>
      <c r="O33" s="42" t="n">
        <f aca="false">O20/SUMPRODUCT(C6:N6,C10:N10,C9:N9)</f>
        <v>0.802861834184313</v>
      </c>
    </row>
    <row r="34" customFormat="false" ht="15" hidden="false" customHeight="false" outlineLevel="0" collapsed="false">
      <c r="A34" s="5" t="s">
        <v>143</v>
      </c>
      <c r="C34" s="38" t="n">
        <f aca="false">IF(C6=0,0,C32/C6)</f>
        <v>98.0400000000002</v>
      </c>
      <c r="D34" s="38" t="n">
        <f aca="false">IF(D6=0,0,D32/D6)</f>
        <v>104.258181818182</v>
      </c>
      <c r="E34" s="38" t="n">
        <f aca="false">IF(E6=0,0,E32/E6)</f>
        <v>110.476363636364</v>
      </c>
      <c r="F34" s="38" t="n">
        <f aca="false">IF(F6=0,0,F32/F6)</f>
        <v>116.694545454546</v>
      </c>
      <c r="G34" s="38" t="n">
        <f aca="false">IF(G6=0,0,G32/G6)</f>
        <v>122.912727272727</v>
      </c>
      <c r="H34" s="38" t="n">
        <f aca="false">IF(H6=0,0,H32/H6)</f>
        <v>129.130909090909</v>
      </c>
      <c r="I34" s="38" t="n">
        <f aca="false">IF(I6=0,0,I32/I6)</f>
        <v>135.349090909091</v>
      </c>
      <c r="J34" s="38" t="n">
        <f aca="false">IF(J6=0,0,J32/J6)</f>
        <v>141.567272727273</v>
      </c>
      <c r="K34" s="38" t="n">
        <f aca="false">IF(K6=0,0,K32/K6)</f>
        <v>147.785454545455</v>
      </c>
      <c r="L34" s="38" t="n">
        <f aca="false">IF(L6=0,0,L32/L6)</f>
        <v>154.003636363637</v>
      </c>
      <c r="M34" s="38" t="n">
        <f aca="false">IF(M6=0,0,M32/M6)</f>
        <v>160.221818181819</v>
      </c>
      <c r="N34" s="38" t="n">
        <f aca="false">IF(N6=0,0,N32/N6)</f>
        <v>166.44</v>
      </c>
      <c r="O34" s="38" t="n">
        <f aca="false">O32/O6</f>
        <v>132.977143156208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"/>
    <col collapsed="false" customWidth="true" hidden="false" outlineLevel="0" max="14" min="3" style="0" width="10"/>
    <col collapsed="false" customWidth="true" hidden="false" outlineLevel="0" max="15" min="15" style="0" width="13"/>
  </cols>
  <sheetData>
    <row r="1" customFormat="false" ht="16.15" hidden="false" customHeight="false" outlineLevel="0" collapsed="false">
      <c r="A1" s="31" t="s">
        <v>144</v>
      </c>
    </row>
    <row r="2" customFormat="false" ht="15" hidden="false" customHeight="false" outlineLevel="0" collapsed="false">
      <c r="A2" s="14" t="s">
        <v>103</v>
      </c>
      <c r="C2" s="32" t="s">
        <v>104</v>
      </c>
      <c r="D2" s="32" t="s">
        <v>105</v>
      </c>
      <c r="E2" s="32" t="s">
        <v>106</v>
      </c>
      <c r="F2" s="32" t="s">
        <v>107</v>
      </c>
      <c r="G2" s="32" t="s">
        <v>108</v>
      </c>
      <c r="H2" s="32" t="s">
        <v>109</v>
      </c>
      <c r="I2" s="32" t="s">
        <v>110</v>
      </c>
      <c r="J2" s="32" t="s">
        <v>111</v>
      </c>
      <c r="K2" s="32" t="s">
        <v>112</v>
      </c>
      <c r="L2" s="32" t="s">
        <v>113</v>
      </c>
      <c r="M2" s="32" t="s">
        <v>114</v>
      </c>
      <c r="N2" s="32" t="s">
        <v>115</v>
      </c>
      <c r="O2" s="33" t="s">
        <v>98</v>
      </c>
    </row>
    <row r="3" customFormat="false" ht="15" hidden="false" customHeight="false" outlineLevel="0" collapsed="false">
      <c r="A3" s="16" t="s">
        <v>116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customFormat="false" ht="15" hidden="false" customHeight="false" outlineLevel="0" collapsed="false">
      <c r="A4" s="5" t="s">
        <v>117</v>
      </c>
      <c r="C4" s="34" t="n">
        <f aca="false">Assumptions!$C$34</f>
        <v>450</v>
      </c>
      <c r="D4" s="35" t="n">
        <f aca="false">C5</f>
        <v>454.5</v>
      </c>
      <c r="E4" s="35" t="n">
        <f aca="false">D5</f>
        <v>459.045</v>
      </c>
      <c r="F4" s="35" t="n">
        <f aca="false">E5</f>
        <v>463.63545</v>
      </c>
      <c r="G4" s="35" t="n">
        <f aca="false">F5</f>
        <v>468.2718045</v>
      </c>
      <c r="H4" s="35" t="n">
        <f aca="false">G5</f>
        <v>472.954522545</v>
      </c>
      <c r="I4" s="35" t="n">
        <f aca="false">H5</f>
        <v>477.68406777045</v>
      </c>
      <c r="J4" s="35" t="n">
        <f aca="false">I5</f>
        <v>482.460908448155</v>
      </c>
      <c r="K4" s="35" t="n">
        <f aca="false">J5</f>
        <v>487.285517532636</v>
      </c>
      <c r="L4" s="35" t="n">
        <f aca="false">K5</f>
        <v>492.158372707963</v>
      </c>
      <c r="M4" s="35" t="n">
        <f aca="false">L5</f>
        <v>497.079956435042</v>
      </c>
      <c r="N4" s="35" t="n">
        <f aca="false">M5</f>
        <v>502.050755999393</v>
      </c>
    </row>
    <row r="5" customFormat="false" ht="15" hidden="false" customHeight="false" outlineLevel="0" collapsed="false">
      <c r="A5" s="5" t="s">
        <v>118</v>
      </c>
      <c r="C5" s="35" t="n">
        <f aca="false">C4*(1+Assumptions!$C$35)</f>
        <v>454.5</v>
      </c>
      <c r="D5" s="35" t="n">
        <f aca="false">D4*(1+Assumptions!$C$35)</f>
        <v>459.045</v>
      </c>
      <c r="E5" s="35" t="n">
        <f aca="false">E4*(1+Assumptions!$C$35)</f>
        <v>463.63545</v>
      </c>
      <c r="F5" s="35" t="n">
        <f aca="false">F4*(1+Assumptions!$C$35)</f>
        <v>468.2718045</v>
      </c>
      <c r="G5" s="35" t="n">
        <f aca="false">G4*(1+Assumptions!$C$35)</f>
        <v>472.954522545</v>
      </c>
      <c r="H5" s="35" t="n">
        <f aca="false">H4*(1+Assumptions!$C$35)</f>
        <v>477.68406777045</v>
      </c>
      <c r="I5" s="35" t="n">
        <f aca="false">I4*(1+Assumptions!$C$35)</f>
        <v>482.460908448155</v>
      </c>
      <c r="J5" s="35" t="n">
        <f aca="false">J4*(1+Assumptions!$C$35)</f>
        <v>487.285517532636</v>
      </c>
      <c r="K5" s="35" t="n">
        <f aca="false">K4*(1+Assumptions!$C$35)</f>
        <v>492.158372707963</v>
      </c>
      <c r="L5" s="35" t="n">
        <f aca="false">L4*(1+Assumptions!$C$35)</f>
        <v>497.079956435042</v>
      </c>
      <c r="M5" s="35" t="n">
        <f aca="false">M4*(1+Assumptions!$C$35)</f>
        <v>502.050755999393</v>
      </c>
      <c r="N5" s="35" t="n">
        <f aca="false">N4*(1+Assumptions!$C$35)</f>
        <v>507.071263559386</v>
      </c>
      <c r="O5" s="35" t="n">
        <f aca="false">N5</f>
        <v>507.071263559386</v>
      </c>
    </row>
    <row r="6" customFormat="false" ht="15" hidden="false" customHeight="false" outlineLevel="0" collapsed="false">
      <c r="A6" s="10" t="s">
        <v>119</v>
      </c>
      <c r="C6" s="36" t="n">
        <f aca="false">AVERAGE(C4,C5)</f>
        <v>452.25</v>
      </c>
      <c r="D6" s="36" t="n">
        <f aca="false">AVERAGE(D4,D5)</f>
        <v>456.7725</v>
      </c>
      <c r="E6" s="36" t="n">
        <f aca="false">AVERAGE(E4,E5)</f>
        <v>461.340225</v>
      </c>
      <c r="F6" s="36" t="n">
        <f aca="false">AVERAGE(F4,F5)</f>
        <v>465.95362725</v>
      </c>
      <c r="G6" s="36" t="n">
        <f aca="false">AVERAGE(G4,G5)</f>
        <v>470.6131635225</v>
      </c>
      <c r="H6" s="36" t="n">
        <f aca="false">AVERAGE(H4,H5)</f>
        <v>475.319295157725</v>
      </c>
      <c r="I6" s="36" t="n">
        <f aca="false">AVERAGE(I4,I5)</f>
        <v>480.072488109302</v>
      </c>
      <c r="J6" s="36" t="n">
        <f aca="false">AVERAGE(J4,J5)</f>
        <v>484.873212990395</v>
      </c>
      <c r="K6" s="36" t="n">
        <f aca="false">AVERAGE(K4,K5)</f>
        <v>489.721945120299</v>
      </c>
      <c r="L6" s="36" t="n">
        <f aca="false">AVERAGE(L4,L5)</f>
        <v>494.619164571502</v>
      </c>
      <c r="M6" s="36" t="n">
        <f aca="false">AVERAGE(M4,M5)</f>
        <v>499.565356217217</v>
      </c>
      <c r="N6" s="36" t="n">
        <f aca="false">AVERAGE(N4,N5)</f>
        <v>504.56100977939</v>
      </c>
      <c r="O6" s="36" t="n">
        <f aca="false">SUM(C6:N6)</f>
        <v>5735.66198771833</v>
      </c>
    </row>
    <row r="8" customFormat="false" ht="15" hidden="false" customHeight="false" outlineLevel="0" collapsed="false">
      <c r="A8" s="16" t="s">
        <v>120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customFormat="false" ht="15" hidden="false" customHeight="false" outlineLevel="0" collapsed="false">
      <c r="A9" s="5" t="s">
        <v>121</v>
      </c>
      <c r="C9" s="37" t="n">
        <f aca="false">Assumptions!$C$36*Assumptions!$B$52</f>
        <v>0.945</v>
      </c>
      <c r="D9" s="37" t="n">
        <f aca="false">Assumptions!$C$36*Assumptions!$B$52</f>
        <v>0.945</v>
      </c>
      <c r="E9" s="37" t="n">
        <f aca="false">Assumptions!$C$36*Assumptions!$B$52</f>
        <v>0.945</v>
      </c>
      <c r="F9" s="37" t="n">
        <f aca="false">Assumptions!$C$36*Assumptions!$B$52</f>
        <v>0.945</v>
      </c>
      <c r="G9" s="37" t="n">
        <f aca="false">Assumptions!$C$36*Assumptions!$B$52</f>
        <v>0.945</v>
      </c>
      <c r="H9" s="37" t="n">
        <f aca="false">Assumptions!$C$36*Assumptions!$B$52</f>
        <v>0.945</v>
      </c>
      <c r="I9" s="37" t="n">
        <f aca="false">Assumptions!$C$36*Assumptions!$B$52</f>
        <v>0.945</v>
      </c>
      <c r="J9" s="37" t="n">
        <f aca="false">Assumptions!$C$36*Assumptions!$B$52</f>
        <v>0.945</v>
      </c>
      <c r="K9" s="37" t="n">
        <f aca="false">Assumptions!$C$36*Assumptions!$B$52</f>
        <v>0.945</v>
      </c>
      <c r="L9" s="37" t="n">
        <f aca="false">Assumptions!$C$36*Assumptions!$B$52</f>
        <v>0.945</v>
      </c>
      <c r="M9" s="37" t="n">
        <f aca="false">Assumptions!$C$36*Assumptions!$B$52</f>
        <v>0.945</v>
      </c>
      <c r="N9" s="37" t="n">
        <f aca="false">Assumptions!$C$36*Assumptions!$B$52</f>
        <v>0.945</v>
      </c>
    </row>
    <row r="10" customFormat="false" ht="15" hidden="false" customHeight="false" outlineLevel="0" collapsed="false">
      <c r="A10" s="5" t="s">
        <v>122</v>
      </c>
      <c r="C10" s="38" t="n">
        <f aca="false">Assumptions!$C$37</f>
        <v>1350</v>
      </c>
      <c r="D10" s="38" t="n">
        <f aca="false">Assumptions!$C$37</f>
        <v>1350</v>
      </c>
      <c r="E10" s="38" t="n">
        <f aca="false">Assumptions!$C$37</f>
        <v>1350</v>
      </c>
      <c r="F10" s="38" t="n">
        <f aca="false">Assumptions!$C$37</f>
        <v>1350</v>
      </c>
      <c r="G10" s="38" t="n">
        <f aca="false">Assumptions!$C$37</f>
        <v>1350</v>
      </c>
      <c r="H10" s="38" t="n">
        <f aca="false">Assumptions!$C$37</f>
        <v>1350</v>
      </c>
      <c r="I10" s="38" t="n">
        <f aca="false">Assumptions!$C$37</f>
        <v>1350</v>
      </c>
      <c r="J10" s="38" t="n">
        <f aca="false">Assumptions!$C$37</f>
        <v>1350</v>
      </c>
      <c r="K10" s="38" t="n">
        <f aca="false">Assumptions!$C$37</f>
        <v>1350</v>
      </c>
      <c r="L10" s="38" t="n">
        <f aca="false">Assumptions!$C$37</f>
        <v>1350</v>
      </c>
      <c r="M10" s="38" t="n">
        <f aca="false">Assumptions!$C$37</f>
        <v>1350</v>
      </c>
      <c r="N10" s="38" t="n">
        <f aca="false">Assumptions!$C$37</f>
        <v>1350</v>
      </c>
    </row>
    <row r="11" customFormat="false" ht="15" hidden="false" customHeight="false" outlineLevel="0" collapsed="false">
      <c r="A11" s="5" t="s">
        <v>123</v>
      </c>
      <c r="C11" s="37" t="n">
        <f aca="false">Assumptions!$B$9+(Assumptions!$B$10-Assumptions!$B$9)*(0)/11</f>
        <v>1.06</v>
      </c>
      <c r="D11" s="37" t="n">
        <f aca="false">Assumptions!$B$9+(Assumptions!$B$10-Assumptions!$B$9)*(1)/11</f>
        <v>1.05454545454545</v>
      </c>
      <c r="E11" s="37" t="n">
        <f aca="false">Assumptions!$B$9+(Assumptions!$B$10-Assumptions!$B$9)*(2)/11</f>
        <v>1.04909090909091</v>
      </c>
      <c r="F11" s="37" t="n">
        <f aca="false">Assumptions!$B$9+(Assumptions!$B$10-Assumptions!$B$9)*(3)/11</f>
        <v>1.04363636363636</v>
      </c>
      <c r="G11" s="37" t="n">
        <f aca="false">Assumptions!$B$9+(Assumptions!$B$10-Assumptions!$B$9)*(4)/11</f>
        <v>1.03818181818182</v>
      </c>
      <c r="H11" s="37" t="n">
        <f aca="false">Assumptions!$B$9+(Assumptions!$B$10-Assumptions!$B$9)*(5)/11</f>
        <v>1.03272727272727</v>
      </c>
      <c r="I11" s="37" t="n">
        <f aca="false">Assumptions!$B$9+(Assumptions!$B$10-Assumptions!$B$9)*(6)/11</f>
        <v>1.02727272727273</v>
      </c>
      <c r="J11" s="37" t="n">
        <f aca="false">Assumptions!$B$9+(Assumptions!$B$10-Assumptions!$B$9)*(7)/11</f>
        <v>1.02181818181818</v>
      </c>
      <c r="K11" s="37" t="n">
        <f aca="false">Assumptions!$B$9+(Assumptions!$B$10-Assumptions!$B$9)*(8)/11</f>
        <v>1.01636363636364</v>
      </c>
      <c r="L11" s="37" t="n">
        <f aca="false">Assumptions!$B$9+(Assumptions!$B$10-Assumptions!$B$9)*(9)/11</f>
        <v>1.01090909090909</v>
      </c>
      <c r="M11" s="37" t="n">
        <f aca="false">Assumptions!$B$9+(Assumptions!$B$10-Assumptions!$B$9)*(10)/11</f>
        <v>1.00545454545455</v>
      </c>
      <c r="N11" s="37" t="n">
        <f aca="false">Assumptions!$B$9+(Assumptions!$B$10-Assumptions!$B$9)*(11)/11</f>
        <v>1</v>
      </c>
    </row>
    <row r="12" customFormat="false" ht="15" hidden="false" customHeight="false" outlineLevel="0" collapsed="false">
      <c r="A12" s="10" t="s">
        <v>124</v>
      </c>
      <c r="C12" s="39" t="n">
        <f aca="false">Assumptions!$C$46*C11</f>
        <v>1187.2</v>
      </c>
      <c r="D12" s="39" t="n">
        <f aca="false">Assumptions!$C$46*D11</f>
        <v>1181.09090909091</v>
      </c>
      <c r="E12" s="39" t="n">
        <f aca="false">Assumptions!$C$46*E11</f>
        <v>1174.98181818182</v>
      </c>
      <c r="F12" s="39" t="n">
        <f aca="false">Assumptions!$C$46*F11</f>
        <v>1168.87272727273</v>
      </c>
      <c r="G12" s="39" t="n">
        <f aca="false">Assumptions!$C$46*G11</f>
        <v>1162.76363636364</v>
      </c>
      <c r="H12" s="39" t="n">
        <f aca="false">Assumptions!$C$46*H11</f>
        <v>1156.65454545455</v>
      </c>
      <c r="I12" s="39" t="n">
        <f aca="false">Assumptions!$C$46*I11</f>
        <v>1150.54545454545</v>
      </c>
      <c r="J12" s="39" t="n">
        <f aca="false">Assumptions!$C$46*J11</f>
        <v>1144.43636363636</v>
      </c>
      <c r="K12" s="39" t="n">
        <f aca="false">Assumptions!$C$46*K11</f>
        <v>1138.32727272727</v>
      </c>
      <c r="L12" s="39" t="n">
        <f aca="false">Assumptions!$C$46*L11</f>
        <v>1132.21818181818</v>
      </c>
      <c r="M12" s="39" t="n">
        <f aca="false">Assumptions!$C$46*M11</f>
        <v>1126.10909090909</v>
      </c>
      <c r="N12" s="39" t="n">
        <f aca="false">Assumptions!$C$46*N11</f>
        <v>1120</v>
      </c>
    </row>
    <row r="14" customFormat="false" ht="15" hidden="false" customHeight="false" outlineLevel="0" collapsed="false">
      <c r="A14" s="16" t="s">
        <v>125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customFormat="false" ht="15" hidden="false" customHeight="false" outlineLevel="0" collapsed="false">
      <c r="A15" s="5" t="s">
        <v>126</v>
      </c>
      <c r="C15" s="38" t="n">
        <f aca="false">C6*C10*C9*Assumptions!$C$38</f>
        <v>0</v>
      </c>
      <c r="D15" s="38" t="n">
        <f aca="false">D6*D10*D9*Assumptions!$C$38</f>
        <v>0</v>
      </c>
      <c r="E15" s="38" t="n">
        <f aca="false">E6*E10*E9*Assumptions!$C$38</f>
        <v>0</v>
      </c>
      <c r="F15" s="38" t="n">
        <f aca="false">F6*F10*F9*Assumptions!$C$38</f>
        <v>0</v>
      </c>
      <c r="G15" s="38" t="n">
        <f aca="false">G6*G10*G9*Assumptions!$C$38</f>
        <v>0</v>
      </c>
      <c r="H15" s="38" t="n">
        <f aca="false">H6*H10*H9*Assumptions!$C$38</f>
        <v>0</v>
      </c>
      <c r="I15" s="38" t="n">
        <f aca="false">I6*I10*I9*Assumptions!$C$38</f>
        <v>0</v>
      </c>
      <c r="J15" s="38" t="n">
        <f aca="false">J6*J10*J9*Assumptions!$C$38</f>
        <v>0</v>
      </c>
      <c r="K15" s="38" t="n">
        <f aca="false">K6*K10*K9*Assumptions!$C$38</f>
        <v>0</v>
      </c>
      <c r="L15" s="38" t="n">
        <f aca="false">L6*L10*L9*Assumptions!$C$38</f>
        <v>0</v>
      </c>
      <c r="M15" s="38" t="n">
        <f aca="false">M6*M10*M9*Assumptions!$C$38</f>
        <v>0</v>
      </c>
      <c r="N15" s="38" t="n">
        <f aca="false">N6*N10*N9*Assumptions!$C$38</f>
        <v>0</v>
      </c>
      <c r="O15" s="38" t="n">
        <f aca="false">SUM(C15:N15)</f>
        <v>0</v>
      </c>
    </row>
    <row r="16" customFormat="false" ht="15" hidden="false" customHeight="false" outlineLevel="0" collapsed="false">
      <c r="A16" s="5" t="s">
        <v>127</v>
      </c>
      <c r="C16" s="38" t="n">
        <f aca="false">C6*Assumptions!$C$39</f>
        <v>24873.75</v>
      </c>
      <c r="D16" s="38" t="n">
        <f aca="false">D6*Assumptions!$C$39</f>
        <v>25122.4875</v>
      </c>
      <c r="E16" s="38" t="n">
        <f aca="false">E6*Assumptions!$C$39</f>
        <v>25373.712375</v>
      </c>
      <c r="F16" s="38" t="n">
        <f aca="false">F6*Assumptions!$C$39</f>
        <v>25627.44949875</v>
      </c>
      <c r="G16" s="38" t="n">
        <f aca="false">G6*Assumptions!$C$39</f>
        <v>25883.7239937375</v>
      </c>
      <c r="H16" s="38" t="n">
        <f aca="false">H6*Assumptions!$C$39</f>
        <v>26142.5612336749</v>
      </c>
      <c r="I16" s="38" t="n">
        <f aca="false">I6*Assumptions!$C$39</f>
        <v>26403.9868460116</v>
      </c>
      <c r="J16" s="38" t="n">
        <f aca="false">J6*Assumptions!$C$39</f>
        <v>26668.0267144717</v>
      </c>
      <c r="K16" s="38" t="n">
        <f aca="false">K6*Assumptions!$C$39</f>
        <v>26934.7069816165</v>
      </c>
      <c r="L16" s="38" t="n">
        <f aca="false">L6*Assumptions!$C$39</f>
        <v>27204.0540514326</v>
      </c>
      <c r="M16" s="38" t="n">
        <f aca="false">M6*Assumptions!$C$39</f>
        <v>27476.094591947</v>
      </c>
      <c r="N16" s="38" t="n">
        <f aca="false">N6*Assumptions!$C$39</f>
        <v>27750.8555378664</v>
      </c>
      <c r="O16" s="38" t="n">
        <f aca="false">SUM(C16:N16)</f>
        <v>315461.409324508</v>
      </c>
    </row>
    <row r="17" customFormat="false" ht="15" hidden="false" customHeight="false" outlineLevel="0" collapsed="false">
      <c r="A17" s="5" t="s">
        <v>128</v>
      </c>
      <c r="C17" s="38" t="n">
        <f aca="false">C6*Assumptions!$C$40</f>
        <v>0</v>
      </c>
      <c r="D17" s="38" t="n">
        <f aca="false">D6*Assumptions!$C$40</f>
        <v>0</v>
      </c>
      <c r="E17" s="38" t="n">
        <f aca="false">E6*Assumptions!$C$40</f>
        <v>0</v>
      </c>
      <c r="F17" s="38" t="n">
        <f aca="false">F6*Assumptions!$C$40</f>
        <v>0</v>
      </c>
      <c r="G17" s="38" t="n">
        <f aca="false">G6*Assumptions!$C$40</f>
        <v>0</v>
      </c>
      <c r="H17" s="38" t="n">
        <f aca="false">H6*Assumptions!$C$40</f>
        <v>0</v>
      </c>
      <c r="I17" s="38" t="n">
        <f aca="false">I6*Assumptions!$C$40</f>
        <v>0</v>
      </c>
      <c r="J17" s="38" t="n">
        <f aca="false">J6*Assumptions!$C$40</f>
        <v>0</v>
      </c>
      <c r="K17" s="38" t="n">
        <f aca="false">K6*Assumptions!$C$40</f>
        <v>0</v>
      </c>
      <c r="L17" s="38" t="n">
        <f aca="false">L6*Assumptions!$C$40</f>
        <v>0</v>
      </c>
      <c r="M17" s="38" t="n">
        <f aca="false">M6*Assumptions!$C$40</f>
        <v>0</v>
      </c>
      <c r="N17" s="38" t="n">
        <f aca="false">N6*Assumptions!$C$40</f>
        <v>0</v>
      </c>
      <c r="O17" s="38" t="n">
        <f aca="false">SUM(C17:N17)</f>
        <v>0</v>
      </c>
    </row>
    <row r="18" customFormat="false" ht="15" hidden="false" customHeight="false" outlineLevel="0" collapsed="false">
      <c r="A18" s="5" t="s">
        <v>129</v>
      </c>
      <c r="C18" s="38" t="n">
        <f aca="false">C6*Assumptions!$C$41</f>
        <v>0</v>
      </c>
      <c r="D18" s="38" t="n">
        <f aca="false">D6*Assumptions!$C$41</f>
        <v>0</v>
      </c>
      <c r="E18" s="38" t="n">
        <f aca="false">E6*Assumptions!$C$41</f>
        <v>0</v>
      </c>
      <c r="F18" s="38" t="n">
        <f aca="false">F6*Assumptions!$C$41</f>
        <v>0</v>
      </c>
      <c r="G18" s="38" t="n">
        <f aca="false">G6*Assumptions!$C$41</f>
        <v>0</v>
      </c>
      <c r="H18" s="38" t="n">
        <f aca="false">H6*Assumptions!$C$41</f>
        <v>0</v>
      </c>
      <c r="I18" s="38" t="n">
        <f aca="false">I6*Assumptions!$C$41</f>
        <v>0</v>
      </c>
      <c r="J18" s="38" t="n">
        <f aca="false">J6*Assumptions!$C$41</f>
        <v>0</v>
      </c>
      <c r="K18" s="38" t="n">
        <f aca="false">K6*Assumptions!$C$41</f>
        <v>0</v>
      </c>
      <c r="L18" s="38" t="n">
        <f aca="false">L6*Assumptions!$C$41</f>
        <v>0</v>
      </c>
      <c r="M18" s="38" t="n">
        <f aca="false">M6*Assumptions!$C$41</f>
        <v>0</v>
      </c>
      <c r="N18" s="38" t="n">
        <f aca="false">N6*Assumptions!$C$41</f>
        <v>0</v>
      </c>
      <c r="O18" s="38" t="n">
        <f aca="false">SUM(C18:N18)</f>
        <v>0</v>
      </c>
    </row>
    <row r="19" customFormat="false" ht="15" hidden="false" customHeight="false" outlineLevel="0" collapsed="false">
      <c r="A19" s="40" t="s">
        <v>130</v>
      </c>
      <c r="C19" s="41" t="n">
        <f aca="false">C6*C10*C9*Assumptions!$C$42</f>
        <v>507722.985</v>
      </c>
      <c r="D19" s="41" t="n">
        <f aca="false">D6*D10*D9*Assumptions!$C$42</f>
        <v>512800.21485</v>
      </c>
      <c r="E19" s="41" t="n">
        <f aca="false">E6*E10*E9*Assumptions!$C$42</f>
        <v>517928.2169985</v>
      </c>
      <c r="F19" s="41" t="n">
        <f aca="false">F6*F10*F9*Assumptions!$C$42</f>
        <v>523107.499168485</v>
      </c>
      <c r="G19" s="41" t="n">
        <f aca="false">G6*G10*G9*Assumptions!$C$42</f>
        <v>528338.57416017</v>
      </c>
      <c r="H19" s="41" t="n">
        <f aca="false">H6*H10*H9*Assumptions!$C$42</f>
        <v>533621.959901772</v>
      </c>
      <c r="I19" s="41" t="n">
        <f aca="false">I6*I10*I9*Assumptions!$C$42</f>
        <v>538958.179500789</v>
      </c>
      <c r="J19" s="41" t="n">
        <f aca="false">J6*J10*J9*Assumptions!$C$42</f>
        <v>544347.761295797</v>
      </c>
      <c r="K19" s="41" t="n">
        <f aca="false">K6*K10*K9*Assumptions!$C$42</f>
        <v>549791.238908755</v>
      </c>
      <c r="L19" s="41" t="n">
        <f aca="false">L6*L10*L9*Assumptions!$C$42</f>
        <v>555289.151297843</v>
      </c>
      <c r="M19" s="41" t="n">
        <f aca="false">M6*M10*M9*Assumptions!$C$42</f>
        <v>560842.042810821</v>
      </c>
      <c r="N19" s="41" t="n">
        <f aca="false">N6*N10*N9*Assumptions!$C$42</f>
        <v>566450.463238929</v>
      </c>
      <c r="O19" s="41" t="n">
        <f aca="false">SUM(C19:N19)</f>
        <v>6439198.28713186</v>
      </c>
    </row>
    <row r="20" customFormat="false" ht="15" hidden="false" customHeight="false" outlineLevel="0" collapsed="false">
      <c r="A20" s="40" t="s">
        <v>131</v>
      </c>
      <c r="C20" s="41" t="n">
        <f aca="false">C6*C12</f>
        <v>536911.2</v>
      </c>
      <c r="D20" s="41" t="n">
        <f aca="false">D6*D12</f>
        <v>539489.847272727</v>
      </c>
      <c r="E20" s="41" t="n">
        <f aca="false">E6*E12</f>
        <v>542066.376370909</v>
      </c>
      <c r="F20" s="41" t="n">
        <f aca="false">F6*F12</f>
        <v>544640.487066327</v>
      </c>
      <c r="G20" s="41" t="n">
        <f aca="false">G6*G12</f>
        <v>547211.873338017</v>
      </c>
      <c r="H20" s="41" t="n">
        <f aca="false">H6*H12</f>
        <v>549780.223286433</v>
      </c>
      <c r="I20" s="41" t="n">
        <f aca="false">I6*I12</f>
        <v>552345.219046485</v>
      </c>
      <c r="J20" s="41" t="n">
        <f aca="false">J6*J12</f>
        <v>554906.536699408</v>
      </c>
      <c r="K20" s="41" t="n">
        <f aca="false">K6*K12</f>
        <v>557463.846183486</v>
      </c>
      <c r="L20" s="41" t="n">
        <f aca="false">L6*L12</f>
        <v>560016.811203574</v>
      </c>
      <c r="M20" s="41" t="n">
        <f aca="false">M6*M12</f>
        <v>562565.089139447</v>
      </c>
      <c r="N20" s="41" t="n">
        <f aca="false">N6*N12</f>
        <v>565108.330952916</v>
      </c>
      <c r="O20" s="41" t="n">
        <f aca="false">SUM(C20:N20)</f>
        <v>6612505.84055973</v>
      </c>
    </row>
    <row r="21" customFormat="false" ht="15" hidden="false" customHeight="false" outlineLevel="0" collapsed="false">
      <c r="A21" s="40" t="s">
        <v>132</v>
      </c>
      <c r="C21" s="41" t="n">
        <f aca="false">C19-C20</f>
        <v>-29188.2150000001</v>
      </c>
      <c r="D21" s="41" t="n">
        <f aca="false">D19-D20</f>
        <v>-26689.6324227273</v>
      </c>
      <c r="E21" s="41" t="n">
        <f aca="false">E19-E20</f>
        <v>-24138.1593724091</v>
      </c>
      <c r="F21" s="41" t="n">
        <f aca="false">F19-F20</f>
        <v>-21532.9878978422</v>
      </c>
      <c r="G21" s="41" t="n">
        <f aca="false">G19-G20</f>
        <v>-18873.299177847</v>
      </c>
      <c r="H21" s="41" t="n">
        <f aca="false">H19-H20</f>
        <v>-16158.2633846616</v>
      </c>
      <c r="I21" s="41" t="n">
        <f aca="false">I19-I20</f>
        <v>-13387.0395456952</v>
      </c>
      <c r="J21" s="41" t="n">
        <f aca="false">J19-J20</f>
        <v>-10558.7754036107</v>
      </c>
      <c r="K21" s="41" t="n">
        <f aca="false">K19-K20</f>
        <v>-7672.60727473022</v>
      </c>
      <c r="L21" s="41" t="n">
        <f aca="false">L19-L20</f>
        <v>-4727.65990573156</v>
      </c>
      <c r="M21" s="41" t="n">
        <f aca="false">M19-M20</f>
        <v>-1723.04632862553</v>
      </c>
      <c r="N21" s="41" t="n">
        <f aca="false">N19-N20</f>
        <v>1342.1322860131</v>
      </c>
      <c r="O21" s="41" t="n">
        <f aca="false">SUM(C21:N21)</f>
        <v>-173307.553427867</v>
      </c>
    </row>
    <row r="22" customFormat="false" ht="15" hidden="false" customHeight="false" outlineLevel="0" collapsed="false">
      <c r="A22" s="5" t="s">
        <v>133</v>
      </c>
      <c r="C22" s="38" t="n">
        <f aca="false">IF(Assumptions!$C$33=1,0,IF(C21&gt;=0,C21*Assumptions!$C$43,C21*Assumptions!$C$44*Assumptions!$C$45))</f>
        <v>-14594.1075</v>
      </c>
      <c r="D22" s="38" t="n">
        <f aca="false">IF(Assumptions!$C$33=1,0,IF(D21&gt;=0,D21*Assumptions!$C$43,D21*Assumptions!$C$44*Assumptions!$C$45))</f>
        <v>-13344.8162113637</v>
      </c>
      <c r="E22" s="38" t="n">
        <f aca="false">IF(Assumptions!$C$33=1,0,IF(E21&gt;=0,E21*Assumptions!$C$43,E21*Assumptions!$C$44*Assumptions!$C$45))</f>
        <v>-12069.0796862046</v>
      </c>
      <c r="F22" s="38" t="n">
        <f aca="false">IF(Assumptions!$C$33=1,0,IF(F21&gt;=0,F21*Assumptions!$C$43,F21*Assumptions!$C$44*Assumptions!$C$45))</f>
        <v>-10766.4939489211</v>
      </c>
      <c r="G22" s="38" t="n">
        <f aca="false">IF(Assumptions!$C$33=1,0,IF(G21&gt;=0,G21*Assumptions!$C$43,G21*Assumptions!$C$44*Assumptions!$C$45))</f>
        <v>-9436.64958892349</v>
      </c>
      <c r="H22" s="38" t="n">
        <f aca="false">IF(Assumptions!$C$33=1,0,IF(H21&gt;=0,H21*Assumptions!$C$43,H21*Assumptions!$C$44*Assumptions!$C$45))</f>
        <v>-8079.13169233082</v>
      </c>
      <c r="I22" s="38" t="n">
        <f aca="false">IF(Assumptions!$C$33=1,0,IF(I21&gt;=0,I21*Assumptions!$C$43,I21*Assumptions!$C$44*Assumptions!$C$45))</f>
        <v>-6693.51977284759</v>
      </c>
      <c r="J22" s="38" t="n">
        <f aca="false">IF(Assumptions!$C$33=1,0,IF(J21&gt;=0,J21*Assumptions!$C$43,J21*Assumptions!$C$44*Assumptions!$C$45))</f>
        <v>-5279.38770180533</v>
      </c>
      <c r="K22" s="38" t="n">
        <f aca="false">IF(Assumptions!$C$33=1,0,IF(K21&gt;=0,K21*Assumptions!$C$43,K21*Assumptions!$C$44*Assumptions!$C$45))</f>
        <v>-3836.30363736511</v>
      </c>
      <c r="L22" s="38" t="n">
        <f aca="false">IF(Assumptions!$C$33=1,0,IF(L21&gt;=0,L21*Assumptions!$C$43,L21*Assumptions!$C$44*Assumptions!$C$45))</f>
        <v>-2363.82995286578</v>
      </c>
      <c r="M22" s="38" t="n">
        <f aca="false">IF(Assumptions!$C$33=1,0,IF(M21&gt;=0,M21*Assumptions!$C$43,M21*Assumptions!$C$44*Assumptions!$C$45))</f>
        <v>-861.523164312763</v>
      </c>
      <c r="N22" s="38" t="n">
        <f aca="false">IF(Assumptions!$C$33=1,0,IF(N21&gt;=0,N21*Assumptions!$C$43,N21*Assumptions!$C$44*Assumptions!$C$45))</f>
        <v>671.066143006552</v>
      </c>
      <c r="O22" s="38" t="n">
        <f aca="false">SUM(C22:N22)</f>
        <v>-86653.7767139337</v>
      </c>
    </row>
    <row r="23" customFormat="false" ht="15" hidden="false" customHeight="false" outlineLevel="0" collapsed="false">
      <c r="A23" s="10" t="s">
        <v>134</v>
      </c>
      <c r="C23" s="39" t="n">
        <f aca="false">C15+C16+C17+C18+C22</f>
        <v>10279.6425</v>
      </c>
      <c r="D23" s="39" t="n">
        <f aca="false">D15+D16+D17+D18+D22</f>
        <v>11777.6712886364</v>
      </c>
      <c r="E23" s="39" t="n">
        <f aca="false">E15+E16+E17+E18+E22</f>
        <v>13304.6326887955</v>
      </c>
      <c r="F23" s="39" t="n">
        <f aca="false">F15+F16+F17+F18+F22</f>
        <v>14860.9555498289</v>
      </c>
      <c r="G23" s="39" t="n">
        <f aca="false">G15+G16+G17+G18+G22</f>
        <v>16447.074404814</v>
      </c>
      <c r="H23" s="39" t="n">
        <f aca="false">H15+H16+H17+H18+H22</f>
        <v>18063.4295413441</v>
      </c>
      <c r="I23" s="39" t="n">
        <f aca="false">I15+I16+I17+I18+I22</f>
        <v>19710.467073164</v>
      </c>
      <c r="J23" s="39" t="n">
        <f aca="false">J15+J16+J17+J18+J22</f>
        <v>21388.6390126664</v>
      </c>
      <c r="K23" s="39" t="n">
        <f aca="false">K15+K16+K17+K18+K22</f>
        <v>23098.4033442514</v>
      </c>
      <c r="L23" s="39" t="n">
        <f aca="false">L15+L16+L17+L18+L22</f>
        <v>24840.2240985668</v>
      </c>
      <c r="M23" s="39" t="n">
        <f aca="false">M15+M16+M17+M18+M22</f>
        <v>26614.5714276342</v>
      </c>
      <c r="N23" s="39" t="n">
        <f aca="false">N15+N16+N17+N18+N22</f>
        <v>28421.921680873</v>
      </c>
      <c r="O23" s="39" t="n">
        <f aca="false">SUM(C23:N23)</f>
        <v>228807.632610575</v>
      </c>
    </row>
    <row r="25" customFormat="false" ht="15" hidden="false" customHeight="false" outlineLevel="0" collapsed="false">
      <c r="A25" s="16" t="s">
        <v>135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customFormat="false" ht="15" hidden="false" customHeight="false" outlineLevel="0" collapsed="false">
      <c r="A26" s="5" t="s">
        <v>136</v>
      </c>
      <c r="C26" s="38" t="n">
        <f aca="false">Assumptions!$C$33*C20</f>
        <v>0</v>
      </c>
      <c r="D26" s="38" t="n">
        <f aca="false">Assumptions!$C$33*D20</f>
        <v>0</v>
      </c>
      <c r="E26" s="38" t="n">
        <f aca="false">Assumptions!$C$33*E20</f>
        <v>0</v>
      </c>
      <c r="F26" s="38" t="n">
        <f aca="false">Assumptions!$C$33*F20</f>
        <v>0</v>
      </c>
      <c r="G26" s="38" t="n">
        <f aca="false">Assumptions!$C$33*G20</f>
        <v>0</v>
      </c>
      <c r="H26" s="38" t="n">
        <f aca="false">Assumptions!$C$33*H20</f>
        <v>0</v>
      </c>
      <c r="I26" s="38" t="n">
        <f aca="false">Assumptions!$C$33*I20</f>
        <v>0</v>
      </c>
      <c r="J26" s="38" t="n">
        <f aca="false">Assumptions!$C$33*J20</f>
        <v>0</v>
      </c>
      <c r="K26" s="38" t="n">
        <f aca="false">Assumptions!$C$33*K20</f>
        <v>0</v>
      </c>
      <c r="L26" s="38" t="n">
        <f aca="false">Assumptions!$C$33*L20</f>
        <v>0</v>
      </c>
      <c r="M26" s="38" t="n">
        <f aca="false">Assumptions!$C$33*M20</f>
        <v>0</v>
      </c>
      <c r="N26" s="38" t="n">
        <f aca="false">Assumptions!$C$33*N20</f>
        <v>0</v>
      </c>
      <c r="O26" s="38" t="n">
        <f aca="false">SUM(C26:N26)</f>
        <v>0</v>
      </c>
    </row>
    <row r="27" customFormat="false" ht="15" hidden="false" customHeight="false" outlineLevel="0" collapsed="false">
      <c r="A27" s="5" t="s">
        <v>137</v>
      </c>
      <c r="C27" s="38" t="n">
        <f aca="false">Assumptions!$C$33*C6*Assumptions!$C$47</f>
        <v>0</v>
      </c>
      <c r="D27" s="38" t="n">
        <f aca="false">Assumptions!$C$33*D6*Assumptions!$C$47</f>
        <v>0</v>
      </c>
      <c r="E27" s="38" t="n">
        <f aca="false">Assumptions!$C$33*E6*Assumptions!$C$47</f>
        <v>0</v>
      </c>
      <c r="F27" s="38" t="n">
        <f aca="false">Assumptions!$C$33*F6*Assumptions!$C$47</f>
        <v>0</v>
      </c>
      <c r="G27" s="38" t="n">
        <f aca="false">Assumptions!$C$33*G6*Assumptions!$C$47</f>
        <v>0</v>
      </c>
      <c r="H27" s="38" t="n">
        <f aca="false">Assumptions!$C$33*H6*Assumptions!$C$47</f>
        <v>0</v>
      </c>
      <c r="I27" s="38" t="n">
        <f aca="false">Assumptions!$C$33*I6*Assumptions!$C$47</f>
        <v>0</v>
      </c>
      <c r="J27" s="38" t="n">
        <f aca="false">Assumptions!$C$33*J6*Assumptions!$C$47</f>
        <v>0</v>
      </c>
      <c r="K27" s="38" t="n">
        <f aca="false">Assumptions!$C$33*K6*Assumptions!$C$47</f>
        <v>0</v>
      </c>
      <c r="L27" s="38" t="n">
        <f aca="false">Assumptions!$C$33*L6*Assumptions!$C$47</f>
        <v>0</v>
      </c>
      <c r="M27" s="38" t="n">
        <f aca="false">Assumptions!$C$33*M6*Assumptions!$C$47</f>
        <v>0</v>
      </c>
      <c r="N27" s="38" t="n">
        <f aca="false">Assumptions!$C$33*N6*Assumptions!$C$47</f>
        <v>0</v>
      </c>
      <c r="O27" s="38" t="n">
        <f aca="false">SUM(C27:N27)</f>
        <v>0</v>
      </c>
    </row>
    <row r="28" customFormat="false" ht="15" hidden="false" customHeight="false" outlineLevel="0" collapsed="false">
      <c r="A28" s="5" t="s">
        <v>138</v>
      </c>
      <c r="C28" s="38" t="n">
        <f aca="false">-Assumptions!$C$33*C6*Assumptions!$C$48</f>
        <v>-0</v>
      </c>
      <c r="D28" s="38" t="n">
        <f aca="false">-Assumptions!$C$33*D6*Assumptions!$C$48</f>
        <v>-0</v>
      </c>
      <c r="E28" s="38" t="n">
        <f aca="false">-Assumptions!$C$33*E6*Assumptions!$C$48</f>
        <v>-0</v>
      </c>
      <c r="F28" s="38" t="n">
        <f aca="false">-Assumptions!$C$33*F6*Assumptions!$C$48</f>
        <v>-0</v>
      </c>
      <c r="G28" s="38" t="n">
        <f aca="false">-Assumptions!$C$33*G6*Assumptions!$C$48</f>
        <v>-0</v>
      </c>
      <c r="H28" s="38" t="n">
        <f aca="false">-Assumptions!$C$33*H6*Assumptions!$C$48</f>
        <v>-0</v>
      </c>
      <c r="I28" s="38" t="n">
        <f aca="false">-Assumptions!$C$33*I6*Assumptions!$C$48</f>
        <v>-0</v>
      </c>
      <c r="J28" s="38" t="n">
        <f aca="false">-Assumptions!$C$33*J6*Assumptions!$C$48</f>
        <v>-0</v>
      </c>
      <c r="K28" s="38" t="n">
        <f aca="false">-Assumptions!$C$33*K6*Assumptions!$C$48</f>
        <v>-0</v>
      </c>
      <c r="L28" s="38" t="n">
        <f aca="false">-Assumptions!$C$33*L6*Assumptions!$C$48</f>
        <v>-0</v>
      </c>
      <c r="M28" s="38" t="n">
        <f aca="false">-Assumptions!$C$33*M6*Assumptions!$C$48</f>
        <v>-0</v>
      </c>
      <c r="N28" s="38" t="n">
        <f aca="false">-Assumptions!$C$33*N6*Assumptions!$C$48</f>
        <v>-0</v>
      </c>
      <c r="O28" s="38" t="n">
        <f aca="false">SUM(C28:N28)</f>
        <v>0</v>
      </c>
    </row>
    <row r="29" customFormat="false" ht="15" hidden="false" customHeight="false" outlineLevel="0" collapsed="false">
      <c r="A29" s="10" t="s">
        <v>139</v>
      </c>
      <c r="C29" s="39" t="n">
        <f aca="false">C26+C27+C28</f>
        <v>0</v>
      </c>
      <c r="D29" s="39" t="n">
        <f aca="false">D26+D27+D28</f>
        <v>0</v>
      </c>
      <c r="E29" s="39" t="n">
        <f aca="false">E26+E27+E28</f>
        <v>0</v>
      </c>
      <c r="F29" s="39" t="n">
        <f aca="false">F26+F27+F28</f>
        <v>0</v>
      </c>
      <c r="G29" s="39" t="n">
        <f aca="false">G26+G27+G28</f>
        <v>0</v>
      </c>
      <c r="H29" s="39" t="n">
        <f aca="false">H26+H27+H28</f>
        <v>0</v>
      </c>
      <c r="I29" s="39" t="n">
        <f aca="false">I26+I27+I28</f>
        <v>0</v>
      </c>
      <c r="J29" s="39" t="n">
        <f aca="false">J26+J27+J28</f>
        <v>0</v>
      </c>
      <c r="K29" s="39" t="n">
        <f aca="false">K26+K27+K28</f>
        <v>0</v>
      </c>
      <c r="L29" s="39" t="n">
        <f aca="false">L26+L27+L28</f>
        <v>0</v>
      </c>
      <c r="M29" s="39" t="n">
        <f aca="false">M26+M27+M28</f>
        <v>0</v>
      </c>
      <c r="N29" s="39" t="n">
        <f aca="false">N26+N27+N28</f>
        <v>0</v>
      </c>
      <c r="O29" s="39" t="n">
        <f aca="false">SUM(C29:N29)</f>
        <v>0</v>
      </c>
    </row>
    <row r="31" customFormat="false" ht="15" hidden="false" customHeight="false" outlineLevel="0" collapsed="false">
      <c r="A31" s="16" t="s">
        <v>140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customFormat="false" ht="15" hidden="false" customHeight="false" outlineLevel="0" collapsed="false">
      <c r="A32" s="10" t="s">
        <v>141</v>
      </c>
      <c r="C32" s="39" t="n">
        <f aca="false">C23-C29</f>
        <v>10279.6425</v>
      </c>
      <c r="D32" s="39" t="n">
        <f aca="false">D23-D29</f>
        <v>11777.6712886364</v>
      </c>
      <c r="E32" s="39" t="n">
        <f aca="false">E23-E29</f>
        <v>13304.6326887955</v>
      </c>
      <c r="F32" s="39" t="n">
        <f aca="false">F23-F29</f>
        <v>14860.9555498289</v>
      </c>
      <c r="G32" s="39" t="n">
        <f aca="false">G23-G29</f>
        <v>16447.074404814</v>
      </c>
      <c r="H32" s="39" t="n">
        <f aca="false">H23-H29</f>
        <v>18063.4295413441</v>
      </c>
      <c r="I32" s="39" t="n">
        <f aca="false">I23-I29</f>
        <v>19710.467073164</v>
      </c>
      <c r="J32" s="39" t="n">
        <f aca="false">J23-J29</f>
        <v>21388.6390126664</v>
      </c>
      <c r="K32" s="39" t="n">
        <f aca="false">K23-K29</f>
        <v>23098.4033442514</v>
      </c>
      <c r="L32" s="39" t="n">
        <f aca="false">L23-L29</f>
        <v>24840.2240985668</v>
      </c>
      <c r="M32" s="39" t="n">
        <f aca="false">M23-M29</f>
        <v>26614.5714276342</v>
      </c>
      <c r="N32" s="39" t="n">
        <f aca="false">N23-N29</f>
        <v>28421.921680873</v>
      </c>
      <c r="O32" s="39" t="n">
        <f aca="false">SUM(C32:N32)</f>
        <v>228807.632610575</v>
      </c>
    </row>
    <row r="33" customFormat="false" ht="15" hidden="false" customHeight="false" outlineLevel="0" collapsed="false">
      <c r="A33" s="5" t="s">
        <v>142</v>
      </c>
      <c r="C33" s="42" t="n">
        <f aca="false">IF(C6=0,0,C20/(C6*C10*C9))</f>
        <v>0.930589849108368</v>
      </c>
      <c r="D33" s="42" t="n">
        <f aca="false">IF(D6=0,0,D20/(D6*D10*D9))</f>
        <v>0.925801222097519</v>
      </c>
      <c r="E33" s="42" t="n">
        <f aca="false">IF(E6=0,0,E20/(E6*E10*E9))</f>
        <v>0.921012595086669</v>
      </c>
      <c r="F33" s="42" t="n">
        <f aca="false">IF(F6=0,0,F20/(F6*F10*F9))</f>
        <v>0.91622396807582</v>
      </c>
      <c r="G33" s="42" t="n">
        <f aca="false">IF(G6=0,0,G20/(G6*G10*G9))</f>
        <v>0.911435341064971</v>
      </c>
      <c r="H33" s="42" t="n">
        <f aca="false">IF(H6=0,0,H20/(H6*H10*H9))</f>
        <v>0.906646714054121</v>
      </c>
      <c r="I33" s="42" t="n">
        <f aca="false">IF(I6=0,0,I20/(I6*I10*I9))</f>
        <v>0.901858087043272</v>
      </c>
      <c r="J33" s="42" t="n">
        <f aca="false">IF(J6=0,0,J20/(J6*J10*J9))</f>
        <v>0.897069460032423</v>
      </c>
      <c r="K33" s="42" t="n">
        <f aca="false">IF(K6=0,0,K20/(K6*K10*K9))</f>
        <v>0.892280833021574</v>
      </c>
      <c r="L33" s="42" t="n">
        <f aca="false">IF(L6=0,0,L20/(L6*L10*L9))</f>
        <v>0.887492206010724</v>
      </c>
      <c r="M33" s="42" t="n">
        <f aca="false">IF(M6=0,0,M20/(M6*M10*M9))</f>
        <v>0.882703578999875</v>
      </c>
      <c r="N33" s="42" t="n">
        <f aca="false">IF(N6=0,0,N20/(N6*N10*N9))</f>
        <v>0.877914951989026</v>
      </c>
      <c r="O33" s="42" t="n">
        <f aca="false">O20/SUMPRODUCT(C6:N6,C10:N10,C9:N9)</f>
        <v>0.903684725988529</v>
      </c>
    </row>
    <row r="34" customFormat="false" ht="15" hidden="false" customHeight="false" outlineLevel="0" collapsed="false">
      <c r="A34" s="5" t="s">
        <v>143</v>
      </c>
      <c r="C34" s="38" t="n">
        <f aca="false">IF(C6=0,0,C32/C6)</f>
        <v>22.7299999999999</v>
      </c>
      <c r="D34" s="38" t="n">
        <f aca="false">IF(D6=0,0,D32/D6)</f>
        <v>25.7845454545454</v>
      </c>
      <c r="E34" s="38" t="n">
        <f aca="false">IF(E6=0,0,E32/E6)</f>
        <v>28.8390909090909</v>
      </c>
      <c r="F34" s="38" t="n">
        <f aca="false">IF(F6=0,0,F32/F6)</f>
        <v>31.8936363636365</v>
      </c>
      <c r="G34" s="38" t="n">
        <f aca="false">IF(G6=0,0,G32/G6)</f>
        <v>34.9481818181817</v>
      </c>
      <c r="H34" s="38" t="n">
        <f aca="false">IF(H6=0,0,H32/H6)</f>
        <v>38.0027272727274</v>
      </c>
      <c r="I34" s="38" t="n">
        <f aca="false">IF(I6=0,0,I32/I6)</f>
        <v>41.0572727272728</v>
      </c>
      <c r="J34" s="38" t="n">
        <f aca="false">IF(J6=0,0,J32/J6)</f>
        <v>44.1118181818184</v>
      </c>
      <c r="K34" s="38" t="n">
        <f aca="false">IF(K6=0,0,K32/K6)</f>
        <v>47.1663636363636</v>
      </c>
      <c r="L34" s="38" t="n">
        <f aca="false">IF(L6=0,0,L32/L6)</f>
        <v>50.2209090909091</v>
      </c>
      <c r="M34" s="38" t="n">
        <f aca="false">IF(M6=0,0,M32/M6)</f>
        <v>53.2754545454546</v>
      </c>
      <c r="N34" s="38" t="n">
        <f aca="false">IF(N6=0,0,N32/N6)</f>
        <v>56.3299999999999</v>
      </c>
      <c r="O34" s="38" t="n">
        <f aca="false">O32/O6</f>
        <v>39.8921054100671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"/>
    <col collapsed="false" customWidth="true" hidden="false" outlineLevel="0" max="14" min="3" style="0" width="10"/>
    <col collapsed="false" customWidth="true" hidden="false" outlineLevel="0" max="15" min="15" style="0" width="13"/>
  </cols>
  <sheetData>
    <row r="1" customFormat="false" ht="16.15" hidden="false" customHeight="false" outlineLevel="0" collapsed="false">
      <c r="A1" s="31" t="s">
        <v>145</v>
      </c>
    </row>
    <row r="2" customFormat="false" ht="15" hidden="false" customHeight="false" outlineLevel="0" collapsed="false">
      <c r="A2" s="14" t="s">
        <v>103</v>
      </c>
      <c r="C2" s="32" t="s">
        <v>104</v>
      </c>
      <c r="D2" s="32" t="s">
        <v>105</v>
      </c>
      <c r="E2" s="32" t="s">
        <v>106</v>
      </c>
      <c r="F2" s="32" t="s">
        <v>107</v>
      </c>
      <c r="G2" s="32" t="s">
        <v>108</v>
      </c>
      <c r="H2" s="32" t="s">
        <v>109</v>
      </c>
      <c r="I2" s="32" t="s">
        <v>110</v>
      </c>
      <c r="J2" s="32" t="s">
        <v>111</v>
      </c>
      <c r="K2" s="32" t="s">
        <v>112</v>
      </c>
      <c r="L2" s="32" t="s">
        <v>113</v>
      </c>
      <c r="M2" s="32" t="s">
        <v>114</v>
      </c>
      <c r="N2" s="32" t="s">
        <v>115</v>
      </c>
      <c r="O2" s="33" t="s">
        <v>98</v>
      </c>
    </row>
    <row r="3" customFormat="false" ht="15" hidden="false" customHeight="false" outlineLevel="0" collapsed="false">
      <c r="A3" s="16" t="s">
        <v>116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customFormat="false" ht="15" hidden="false" customHeight="false" outlineLevel="0" collapsed="false">
      <c r="A4" s="5" t="s">
        <v>117</v>
      </c>
      <c r="C4" s="34" t="n">
        <f aca="false">Assumptions!$D$34</f>
        <v>250</v>
      </c>
      <c r="D4" s="35" t="n">
        <f aca="false">C5</f>
        <v>252.5</v>
      </c>
      <c r="E4" s="35" t="n">
        <f aca="false">D5</f>
        <v>255.025</v>
      </c>
      <c r="F4" s="35" t="n">
        <f aca="false">E5</f>
        <v>257.57525</v>
      </c>
      <c r="G4" s="35" t="n">
        <f aca="false">F5</f>
        <v>260.1510025</v>
      </c>
      <c r="H4" s="35" t="n">
        <f aca="false">G5</f>
        <v>262.752512525</v>
      </c>
      <c r="I4" s="35" t="n">
        <f aca="false">H5</f>
        <v>265.38003765025</v>
      </c>
      <c r="J4" s="35" t="n">
        <f aca="false">I5</f>
        <v>268.033838026752</v>
      </c>
      <c r="K4" s="35" t="n">
        <f aca="false">J5</f>
        <v>270.71417640702</v>
      </c>
      <c r="L4" s="35" t="n">
        <f aca="false">K5</f>
        <v>273.42131817109</v>
      </c>
      <c r="M4" s="35" t="n">
        <f aca="false">L5</f>
        <v>276.155531352801</v>
      </c>
      <c r="N4" s="35" t="n">
        <f aca="false">M5</f>
        <v>278.917086666329</v>
      </c>
    </row>
    <row r="5" customFormat="false" ht="15" hidden="false" customHeight="false" outlineLevel="0" collapsed="false">
      <c r="A5" s="5" t="s">
        <v>118</v>
      </c>
      <c r="C5" s="35" t="n">
        <f aca="false">C4*(1+Assumptions!$D$35)</f>
        <v>252.5</v>
      </c>
      <c r="D5" s="35" t="n">
        <f aca="false">D4*(1+Assumptions!$D$35)</f>
        <v>255.025</v>
      </c>
      <c r="E5" s="35" t="n">
        <f aca="false">E4*(1+Assumptions!$D$35)</f>
        <v>257.57525</v>
      </c>
      <c r="F5" s="35" t="n">
        <f aca="false">F4*(1+Assumptions!$D$35)</f>
        <v>260.1510025</v>
      </c>
      <c r="G5" s="35" t="n">
        <f aca="false">G4*(1+Assumptions!$D$35)</f>
        <v>262.752512525</v>
      </c>
      <c r="H5" s="35" t="n">
        <f aca="false">H4*(1+Assumptions!$D$35)</f>
        <v>265.38003765025</v>
      </c>
      <c r="I5" s="35" t="n">
        <f aca="false">I4*(1+Assumptions!$D$35)</f>
        <v>268.033838026752</v>
      </c>
      <c r="J5" s="35" t="n">
        <f aca="false">J4*(1+Assumptions!$D$35)</f>
        <v>270.71417640702</v>
      </c>
      <c r="K5" s="35" t="n">
        <f aca="false">K4*(1+Assumptions!$D$35)</f>
        <v>273.42131817109</v>
      </c>
      <c r="L5" s="35" t="n">
        <f aca="false">L4*(1+Assumptions!$D$35)</f>
        <v>276.155531352801</v>
      </c>
      <c r="M5" s="35" t="n">
        <f aca="false">M4*(1+Assumptions!$D$35)</f>
        <v>278.917086666329</v>
      </c>
      <c r="N5" s="35" t="n">
        <f aca="false">N4*(1+Assumptions!$D$35)</f>
        <v>281.706257532992</v>
      </c>
      <c r="O5" s="35" t="n">
        <f aca="false">N5</f>
        <v>281.706257532992</v>
      </c>
    </row>
    <row r="6" customFormat="false" ht="15" hidden="false" customHeight="false" outlineLevel="0" collapsed="false">
      <c r="A6" s="10" t="s">
        <v>119</v>
      </c>
      <c r="C6" s="36" t="n">
        <f aca="false">AVERAGE(C4,C5)</f>
        <v>251.25</v>
      </c>
      <c r="D6" s="36" t="n">
        <f aca="false">AVERAGE(D4,D5)</f>
        <v>253.7625</v>
      </c>
      <c r="E6" s="36" t="n">
        <f aca="false">AVERAGE(E4,E5)</f>
        <v>256.300125</v>
      </c>
      <c r="F6" s="36" t="n">
        <f aca="false">AVERAGE(F4,F5)</f>
        <v>258.86312625</v>
      </c>
      <c r="G6" s="36" t="n">
        <f aca="false">AVERAGE(G4,G5)</f>
        <v>261.4517575125</v>
      </c>
      <c r="H6" s="36" t="n">
        <f aca="false">AVERAGE(H4,H5)</f>
        <v>264.066275087625</v>
      </c>
      <c r="I6" s="36" t="n">
        <f aca="false">AVERAGE(I4,I5)</f>
        <v>266.706937838501</v>
      </c>
      <c r="J6" s="36" t="n">
        <f aca="false">AVERAGE(J4,J5)</f>
        <v>269.374007216886</v>
      </c>
      <c r="K6" s="36" t="n">
        <f aca="false">AVERAGE(K4,K5)</f>
        <v>272.067747289055</v>
      </c>
      <c r="L6" s="36" t="n">
        <f aca="false">AVERAGE(L4,L5)</f>
        <v>274.788424761946</v>
      </c>
      <c r="M6" s="36" t="n">
        <f aca="false">AVERAGE(M4,M5)</f>
        <v>277.536309009565</v>
      </c>
      <c r="N6" s="36" t="n">
        <f aca="false">AVERAGE(N4,N5)</f>
        <v>280.311672099661</v>
      </c>
      <c r="O6" s="36" t="n">
        <f aca="false">SUM(C6:N6)</f>
        <v>3186.47888206574</v>
      </c>
    </row>
    <row r="8" customFormat="false" ht="15" hidden="false" customHeight="false" outlineLevel="0" collapsed="false">
      <c r="A8" s="16" t="s">
        <v>120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customFormat="false" ht="15" hidden="false" customHeight="false" outlineLevel="0" collapsed="false">
      <c r="A9" s="5" t="s">
        <v>121</v>
      </c>
      <c r="C9" s="37" t="n">
        <f aca="false">Assumptions!$D$36*Assumptions!$B$52</f>
        <v>0.9</v>
      </c>
      <c r="D9" s="37" t="n">
        <f aca="false">Assumptions!$D$36*Assumptions!$B$52</f>
        <v>0.9</v>
      </c>
      <c r="E9" s="37" t="n">
        <f aca="false">Assumptions!$D$36*Assumptions!$B$52</f>
        <v>0.9</v>
      </c>
      <c r="F9" s="37" t="n">
        <f aca="false">Assumptions!$D$36*Assumptions!$B$52</f>
        <v>0.9</v>
      </c>
      <c r="G9" s="37" t="n">
        <f aca="false">Assumptions!$D$36*Assumptions!$B$52</f>
        <v>0.9</v>
      </c>
      <c r="H9" s="37" t="n">
        <f aca="false">Assumptions!$D$36*Assumptions!$B$52</f>
        <v>0.9</v>
      </c>
      <c r="I9" s="37" t="n">
        <f aca="false">Assumptions!$D$36*Assumptions!$B$52</f>
        <v>0.9</v>
      </c>
      <c r="J9" s="37" t="n">
        <f aca="false">Assumptions!$D$36*Assumptions!$B$52</f>
        <v>0.9</v>
      </c>
      <c r="K9" s="37" t="n">
        <f aca="false">Assumptions!$D$36*Assumptions!$B$52</f>
        <v>0.9</v>
      </c>
      <c r="L9" s="37" t="n">
        <f aca="false">Assumptions!$D$36*Assumptions!$B$52</f>
        <v>0.9</v>
      </c>
      <c r="M9" s="37" t="n">
        <f aca="false">Assumptions!$D$36*Assumptions!$B$52</f>
        <v>0.9</v>
      </c>
      <c r="N9" s="37" t="n">
        <f aca="false">Assumptions!$D$36*Assumptions!$B$52</f>
        <v>0.9</v>
      </c>
    </row>
    <row r="10" customFormat="false" ht="15" hidden="false" customHeight="false" outlineLevel="0" collapsed="false">
      <c r="A10" s="5" t="s">
        <v>122</v>
      </c>
      <c r="C10" s="38" t="n">
        <f aca="false">Assumptions!$D$37</f>
        <v>1250</v>
      </c>
      <c r="D10" s="38" t="n">
        <f aca="false">Assumptions!$D$37</f>
        <v>1250</v>
      </c>
      <c r="E10" s="38" t="n">
        <f aca="false">Assumptions!$D$37</f>
        <v>1250</v>
      </c>
      <c r="F10" s="38" t="n">
        <f aca="false">Assumptions!$D$37</f>
        <v>1250</v>
      </c>
      <c r="G10" s="38" t="n">
        <f aca="false">Assumptions!$D$37</f>
        <v>1250</v>
      </c>
      <c r="H10" s="38" t="n">
        <f aca="false">Assumptions!$D$37</f>
        <v>1250</v>
      </c>
      <c r="I10" s="38" t="n">
        <f aca="false">Assumptions!$D$37</f>
        <v>1250</v>
      </c>
      <c r="J10" s="38" t="n">
        <f aca="false">Assumptions!$D$37</f>
        <v>1250</v>
      </c>
      <c r="K10" s="38" t="n">
        <f aca="false">Assumptions!$D$37</f>
        <v>1250</v>
      </c>
      <c r="L10" s="38" t="n">
        <f aca="false">Assumptions!$D$37</f>
        <v>1250</v>
      </c>
      <c r="M10" s="38" t="n">
        <f aca="false">Assumptions!$D$37</f>
        <v>1250</v>
      </c>
      <c r="N10" s="38" t="n">
        <f aca="false">Assumptions!$D$37</f>
        <v>1250</v>
      </c>
    </row>
    <row r="11" customFormat="false" ht="15" hidden="false" customHeight="false" outlineLevel="0" collapsed="false">
      <c r="A11" s="5" t="s">
        <v>123</v>
      </c>
      <c r="C11" s="37" t="n">
        <f aca="false">Assumptions!$B$9+(Assumptions!$B$10-Assumptions!$B$9)*(0)/11</f>
        <v>1.06</v>
      </c>
      <c r="D11" s="37" t="n">
        <f aca="false">Assumptions!$B$9+(Assumptions!$B$10-Assumptions!$B$9)*(1)/11</f>
        <v>1.05454545454545</v>
      </c>
      <c r="E11" s="37" t="n">
        <f aca="false">Assumptions!$B$9+(Assumptions!$B$10-Assumptions!$B$9)*(2)/11</f>
        <v>1.04909090909091</v>
      </c>
      <c r="F11" s="37" t="n">
        <f aca="false">Assumptions!$B$9+(Assumptions!$B$10-Assumptions!$B$9)*(3)/11</f>
        <v>1.04363636363636</v>
      </c>
      <c r="G11" s="37" t="n">
        <f aca="false">Assumptions!$B$9+(Assumptions!$B$10-Assumptions!$B$9)*(4)/11</f>
        <v>1.03818181818182</v>
      </c>
      <c r="H11" s="37" t="n">
        <f aca="false">Assumptions!$B$9+(Assumptions!$B$10-Assumptions!$B$9)*(5)/11</f>
        <v>1.03272727272727</v>
      </c>
      <c r="I11" s="37" t="n">
        <f aca="false">Assumptions!$B$9+(Assumptions!$B$10-Assumptions!$B$9)*(6)/11</f>
        <v>1.02727272727273</v>
      </c>
      <c r="J11" s="37" t="n">
        <f aca="false">Assumptions!$B$9+(Assumptions!$B$10-Assumptions!$B$9)*(7)/11</f>
        <v>1.02181818181818</v>
      </c>
      <c r="K11" s="37" t="n">
        <f aca="false">Assumptions!$B$9+(Assumptions!$B$10-Assumptions!$B$9)*(8)/11</f>
        <v>1.01636363636364</v>
      </c>
      <c r="L11" s="37" t="n">
        <f aca="false">Assumptions!$B$9+(Assumptions!$B$10-Assumptions!$B$9)*(9)/11</f>
        <v>1.01090909090909</v>
      </c>
      <c r="M11" s="37" t="n">
        <f aca="false">Assumptions!$B$9+(Assumptions!$B$10-Assumptions!$B$9)*(10)/11</f>
        <v>1.00545454545455</v>
      </c>
      <c r="N11" s="37" t="n">
        <f aca="false">Assumptions!$B$9+(Assumptions!$B$10-Assumptions!$B$9)*(11)/11</f>
        <v>1</v>
      </c>
    </row>
    <row r="12" customFormat="false" ht="15" hidden="false" customHeight="false" outlineLevel="0" collapsed="false">
      <c r="A12" s="10" t="s">
        <v>124</v>
      </c>
      <c r="C12" s="39" t="n">
        <f aca="false">Assumptions!$D$46*C11</f>
        <v>1123.6</v>
      </c>
      <c r="D12" s="39" t="n">
        <f aca="false">Assumptions!$D$46*D11</f>
        <v>1117.81818181818</v>
      </c>
      <c r="E12" s="39" t="n">
        <f aca="false">Assumptions!$D$46*E11</f>
        <v>1112.03636363636</v>
      </c>
      <c r="F12" s="39" t="n">
        <f aca="false">Assumptions!$D$46*F11</f>
        <v>1106.25454545455</v>
      </c>
      <c r="G12" s="39" t="n">
        <f aca="false">Assumptions!$D$46*G11</f>
        <v>1100.47272727273</v>
      </c>
      <c r="H12" s="39" t="n">
        <f aca="false">Assumptions!$D$46*H11</f>
        <v>1094.69090909091</v>
      </c>
      <c r="I12" s="39" t="n">
        <f aca="false">Assumptions!$D$46*I11</f>
        <v>1088.90909090909</v>
      </c>
      <c r="J12" s="39" t="n">
        <f aca="false">Assumptions!$D$46*J11</f>
        <v>1083.12727272727</v>
      </c>
      <c r="K12" s="39" t="n">
        <f aca="false">Assumptions!$D$46*K11</f>
        <v>1077.34545454545</v>
      </c>
      <c r="L12" s="39" t="n">
        <f aca="false">Assumptions!$D$46*L11</f>
        <v>1071.56363636364</v>
      </c>
      <c r="M12" s="39" t="n">
        <f aca="false">Assumptions!$D$46*M11</f>
        <v>1065.78181818182</v>
      </c>
      <c r="N12" s="39" t="n">
        <f aca="false">Assumptions!$D$46*N11</f>
        <v>1060</v>
      </c>
    </row>
    <row r="14" customFormat="false" ht="15" hidden="false" customHeight="false" outlineLevel="0" collapsed="false">
      <c r="A14" s="16" t="s">
        <v>125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customFormat="false" ht="15" hidden="false" customHeight="false" outlineLevel="0" collapsed="false">
      <c r="A15" s="5" t="s">
        <v>126</v>
      </c>
      <c r="C15" s="38" t="n">
        <f aca="false">C6*C10*C9*Assumptions!$D$38</f>
        <v>0</v>
      </c>
      <c r="D15" s="38" t="n">
        <f aca="false">D6*D10*D9*Assumptions!$D$38</f>
        <v>0</v>
      </c>
      <c r="E15" s="38" t="n">
        <f aca="false">E6*E10*E9*Assumptions!$D$38</f>
        <v>0</v>
      </c>
      <c r="F15" s="38" t="n">
        <f aca="false">F6*F10*F9*Assumptions!$D$38</f>
        <v>0</v>
      </c>
      <c r="G15" s="38" t="n">
        <f aca="false">G6*G10*G9*Assumptions!$D$38</f>
        <v>0</v>
      </c>
      <c r="H15" s="38" t="n">
        <f aca="false">H6*H10*H9*Assumptions!$D$38</f>
        <v>0</v>
      </c>
      <c r="I15" s="38" t="n">
        <f aca="false">I6*I10*I9*Assumptions!$D$38</f>
        <v>0</v>
      </c>
      <c r="J15" s="38" t="n">
        <f aca="false">J6*J10*J9*Assumptions!$D$38</f>
        <v>0</v>
      </c>
      <c r="K15" s="38" t="n">
        <f aca="false">K6*K10*K9*Assumptions!$D$38</f>
        <v>0</v>
      </c>
      <c r="L15" s="38" t="n">
        <f aca="false">L6*L10*L9*Assumptions!$D$38</f>
        <v>0</v>
      </c>
      <c r="M15" s="38" t="n">
        <f aca="false">M6*M10*M9*Assumptions!$D$38</f>
        <v>0</v>
      </c>
      <c r="N15" s="38" t="n">
        <f aca="false">N6*N10*N9*Assumptions!$D$38</f>
        <v>0</v>
      </c>
      <c r="O15" s="38" t="n">
        <f aca="false">SUM(C15:N15)</f>
        <v>0</v>
      </c>
    </row>
    <row r="16" customFormat="false" ht="15" hidden="false" customHeight="false" outlineLevel="0" collapsed="false">
      <c r="A16" s="5" t="s">
        <v>127</v>
      </c>
      <c r="C16" s="38" t="n">
        <f aca="false">C6*Assumptions!$D$39</f>
        <v>0</v>
      </c>
      <c r="D16" s="38" t="n">
        <f aca="false">D6*Assumptions!$D$39</f>
        <v>0</v>
      </c>
      <c r="E16" s="38" t="n">
        <f aca="false">E6*Assumptions!$D$39</f>
        <v>0</v>
      </c>
      <c r="F16" s="38" t="n">
        <f aca="false">F6*Assumptions!$D$39</f>
        <v>0</v>
      </c>
      <c r="G16" s="38" t="n">
        <f aca="false">G6*Assumptions!$D$39</f>
        <v>0</v>
      </c>
      <c r="H16" s="38" t="n">
        <f aca="false">H6*Assumptions!$D$39</f>
        <v>0</v>
      </c>
      <c r="I16" s="38" t="n">
        <f aca="false">I6*Assumptions!$D$39</f>
        <v>0</v>
      </c>
      <c r="J16" s="38" t="n">
        <f aca="false">J6*Assumptions!$D$39</f>
        <v>0</v>
      </c>
      <c r="K16" s="38" t="n">
        <f aca="false">K6*Assumptions!$D$39</f>
        <v>0</v>
      </c>
      <c r="L16" s="38" t="n">
        <f aca="false">L6*Assumptions!$D$39</f>
        <v>0</v>
      </c>
      <c r="M16" s="38" t="n">
        <f aca="false">M6*Assumptions!$D$39</f>
        <v>0</v>
      </c>
      <c r="N16" s="38" t="n">
        <f aca="false">N6*Assumptions!$D$39</f>
        <v>0</v>
      </c>
      <c r="O16" s="38" t="n">
        <f aca="false">SUM(C16:N16)</f>
        <v>0</v>
      </c>
    </row>
    <row r="17" customFormat="false" ht="15" hidden="false" customHeight="false" outlineLevel="0" collapsed="false">
      <c r="A17" s="5" t="s">
        <v>128</v>
      </c>
      <c r="C17" s="38" t="n">
        <f aca="false">C6*Assumptions!$D$40</f>
        <v>0</v>
      </c>
      <c r="D17" s="38" t="n">
        <f aca="false">D6*Assumptions!$D$40</f>
        <v>0</v>
      </c>
      <c r="E17" s="38" t="n">
        <f aca="false">E6*Assumptions!$D$40</f>
        <v>0</v>
      </c>
      <c r="F17" s="38" t="n">
        <f aca="false">F6*Assumptions!$D$40</f>
        <v>0</v>
      </c>
      <c r="G17" s="38" t="n">
        <f aca="false">G6*Assumptions!$D$40</f>
        <v>0</v>
      </c>
      <c r="H17" s="38" t="n">
        <f aca="false">H6*Assumptions!$D$40</f>
        <v>0</v>
      </c>
      <c r="I17" s="38" t="n">
        <f aca="false">I6*Assumptions!$D$40</f>
        <v>0</v>
      </c>
      <c r="J17" s="38" t="n">
        <f aca="false">J6*Assumptions!$D$40</f>
        <v>0</v>
      </c>
      <c r="K17" s="38" t="n">
        <f aca="false">K6*Assumptions!$D$40</f>
        <v>0</v>
      </c>
      <c r="L17" s="38" t="n">
        <f aca="false">L6*Assumptions!$D$40</f>
        <v>0</v>
      </c>
      <c r="M17" s="38" t="n">
        <f aca="false">M6*Assumptions!$D$40</f>
        <v>0</v>
      </c>
      <c r="N17" s="38" t="n">
        <f aca="false">N6*Assumptions!$D$40</f>
        <v>0</v>
      </c>
      <c r="O17" s="38" t="n">
        <f aca="false">SUM(C17:N17)</f>
        <v>0</v>
      </c>
    </row>
    <row r="18" customFormat="false" ht="15" hidden="false" customHeight="false" outlineLevel="0" collapsed="false">
      <c r="A18" s="5" t="s">
        <v>129</v>
      </c>
      <c r="C18" s="38" t="n">
        <f aca="false">C6*Assumptions!$D$41</f>
        <v>12562.5</v>
      </c>
      <c r="D18" s="38" t="n">
        <f aca="false">D6*Assumptions!$D$41</f>
        <v>12688.125</v>
      </c>
      <c r="E18" s="38" t="n">
        <f aca="false">E6*Assumptions!$D$41</f>
        <v>12815.00625</v>
      </c>
      <c r="F18" s="38" t="n">
        <f aca="false">F6*Assumptions!$D$41</f>
        <v>12943.1563125</v>
      </c>
      <c r="G18" s="38" t="n">
        <f aca="false">G6*Assumptions!$D$41</f>
        <v>13072.587875625</v>
      </c>
      <c r="H18" s="38" t="n">
        <f aca="false">H6*Assumptions!$D$41</f>
        <v>13203.3137543812</v>
      </c>
      <c r="I18" s="38" t="n">
        <f aca="false">I6*Assumptions!$D$41</f>
        <v>13335.3468919251</v>
      </c>
      <c r="J18" s="38" t="n">
        <f aca="false">J6*Assumptions!$D$41</f>
        <v>13468.7003608443</v>
      </c>
      <c r="K18" s="38" t="n">
        <f aca="false">K6*Assumptions!$D$41</f>
        <v>13603.3873644528</v>
      </c>
      <c r="L18" s="38" t="n">
        <f aca="false">L6*Assumptions!$D$41</f>
        <v>13739.4212380973</v>
      </c>
      <c r="M18" s="38" t="n">
        <f aca="false">M6*Assumptions!$D$41</f>
        <v>13876.8154504783</v>
      </c>
      <c r="N18" s="38" t="n">
        <f aca="false">N6*Assumptions!$D$41</f>
        <v>14015.583604983</v>
      </c>
      <c r="O18" s="38" t="n">
        <f aca="false">SUM(C18:N18)</f>
        <v>159323.944103287</v>
      </c>
    </row>
    <row r="19" customFormat="false" ht="15" hidden="false" customHeight="false" outlineLevel="0" collapsed="false">
      <c r="A19" s="40" t="s">
        <v>130</v>
      </c>
      <c r="C19" s="41" t="n">
        <f aca="false">C6*C10*C9*Assumptions!$D$42</f>
        <v>254390.625</v>
      </c>
      <c r="D19" s="41" t="n">
        <f aca="false">D6*D10*D9*Assumptions!$D$42</f>
        <v>256934.53125</v>
      </c>
      <c r="E19" s="41" t="n">
        <f aca="false">E6*E10*E9*Assumptions!$D$42</f>
        <v>259503.8765625</v>
      </c>
      <c r="F19" s="41" t="n">
        <f aca="false">F6*F10*F9*Assumptions!$D$42</f>
        <v>262098.915328125</v>
      </c>
      <c r="G19" s="41" t="n">
        <f aca="false">G6*G10*G9*Assumptions!$D$42</f>
        <v>264719.904481406</v>
      </c>
      <c r="H19" s="41" t="n">
        <f aca="false">H6*H10*H9*Assumptions!$D$42</f>
        <v>267367.10352622</v>
      </c>
      <c r="I19" s="41" t="n">
        <f aca="false">I6*I10*I9*Assumptions!$D$42</f>
        <v>270040.774561482</v>
      </c>
      <c r="J19" s="41" t="n">
        <f aca="false">J6*J10*J9*Assumptions!$D$42</f>
        <v>272741.182307097</v>
      </c>
      <c r="K19" s="41" t="n">
        <f aca="false">K6*K10*K9*Assumptions!$D$42</f>
        <v>275468.594130168</v>
      </c>
      <c r="L19" s="41" t="n">
        <f aca="false">L6*L10*L9*Assumptions!$D$42</f>
        <v>278223.28007147</v>
      </c>
      <c r="M19" s="41" t="n">
        <f aca="false">M6*M10*M9*Assumptions!$D$42</f>
        <v>281005.512872185</v>
      </c>
      <c r="N19" s="41" t="n">
        <f aca="false">N6*N10*N9*Assumptions!$D$42</f>
        <v>283815.568000907</v>
      </c>
      <c r="O19" s="41" t="n">
        <f aca="false">SUM(C19:N19)</f>
        <v>3226309.86809156</v>
      </c>
    </row>
    <row r="20" customFormat="false" ht="15" hidden="false" customHeight="false" outlineLevel="0" collapsed="false">
      <c r="A20" s="40" t="s">
        <v>131</v>
      </c>
      <c r="C20" s="41" t="n">
        <f aca="false">C6*C12</f>
        <v>282304.5</v>
      </c>
      <c r="D20" s="41" t="n">
        <f aca="false">D6*D12</f>
        <v>283660.336363636</v>
      </c>
      <c r="E20" s="41" t="n">
        <f aca="false">E6*E12</f>
        <v>285015.059004545</v>
      </c>
      <c r="F20" s="41" t="n">
        <f aca="false">F6*F12</f>
        <v>286368.510064636</v>
      </c>
      <c r="G20" s="41" t="n">
        <f aca="false">G6*G12</f>
        <v>287720.528640029</v>
      </c>
      <c r="H20" s="41" t="n">
        <f aca="false">H6*H12</f>
        <v>289070.950735922</v>
      </c>
      <c r="I20" s="41" t="n">
        <f aca="false">I6*I12</f>
        <v>290419.60922087</v>
      </c>
      <c r="J20" s="41" t="n">
        <f aca="false">J6*J12</f>
        <v>291766.333780443</v>
      </c>
      <c r="K20" s="41" t="n">
        <f aca="false">K6*K12</f>
        <v>293110.950870285</v>
      </c>
      <c r="L20" s="41" t="n">
        <f aca="false">L6*L12</f>
        <v>294453.283668546</v>
      </c>
      <c r="M20" s="41" t="n">
        <f aca="false">M6*M12</f>
        <v>295793.152027685</v>
      </c>
      <c r="N20" s="41" t="n">
        <f aca="false">N6*N12</f>
        <v>297130.37242564</v>
      </c>
      <c r="O20" s="41" t="n">
        <f aca="false">SUM(C20:N20)</f>
        <v>3476813.58680224</v>
      </c>
    </row>
    <row r="21" customFormat="false" ht="15" hidden="false" customHeight="false" outlineLevel="0" collapsed="false">
      <c r="A21" s="40" t="s">
        <v>132</v>
      </c>
      <c r="C21" s="41" t="n">
        <f aca="false">C19-C20</f>
        <v>-27913.8750000001</v>
      </c>
      <c r="D21" s="41" t="n">
        <f aca="false">D19-D20</f>
        <v>-26725.8051136364</v>
      </c>
      <c r="E21" s="41" t="n">
        <f aca="false">E19-E20</f>
        <v>-25511.1824420455</v>
      </c>
      <c r="F21" s="41" t="n">
        <f aca="false">F19-F20</f>
        <v>-24269.5947365114</v>
      </c>
      <c r="G21" s="41" t="n">
        <f aca="false">G19-G20</f>
        <v>-23000.6241586225</v>
      </c>
      <c r="H21" s="41" t="n">
        <f aca="false">H19-H20</f>
        <v>-21703.847209702</v>
      </c>
      <c r="I21" s="41" t="n">
        <f aca="false">I19-I20</f>
        <v>-20378.8346593874</v>
      </c>
      <c r="J21" s="41" t="n">
        <f aca="false">J19-J20</f>
        <v>-19025.1514733453</v>
      </c>
      <c r="K21" s="41" t="n">
        <f aca="false">K19-K20</f>
        <v>-17642.3567401166</v>
      </c>
      <c r="L21" s="41" t="n">
        <f aca="false">L19-L20</f>
        <v>-16230.0035970761</v>
      </c>
      <c r="M21" s="41" t="n">
        <f aca="false">M19-M20</f>
        <v>-14787.6391555005</v>
      </c>
      <c r="N21" s="41" t="n">
        <f aca="false">N19-N20</f>
        <v>-13314.8044247339</v>
      </c>
      <c r="O21" s="41" t="n">
        <f aca="false">SUM(C21:N21)</f>
        <v>-250503.718710677</v>
      </c>
    </row>
    <row r="22" customFormat="false" ht="15" hidden="false" customHeight="false" outlineLevel="0" collapsed="false">
      <c r="A22" s="5" t="s">
        <v>133</v>
      </c>
      <c r="C22" s="38" t="n">
        <f aca="false">IF(Assumptions!$D$33=1,0,IF(C21&gt;=0,C21*Assumptions!$D$43,C21*Assumptions!$D$44*Assumptions!$D$45))</f>
        <v>-0</v>
      </c>
      <c r="D22" s="38" t="n">
        <f aca="false">IF(Assumptions!$D$33=1,0,IF(D21&gt;=0,D21*Assumptions!$D$43,D21*Assumptions!$D$44*Assumptions!$D$45))</f>
        <v>-0</v>
      </c>
      <c r="E22" s="38" t="n">
        <f aca="false">IF(Assumptions!$D$33=1,0,IF(E21&gt;=0,E21*Assumptions!$D$43,E21*Assumptions!$D$44*Assumptions!$D$45))</f>
        <v>-0</v>
      </c>
      <c r="F22" s="38" t="n">
        <f aca="false">IF(Assumptions!$D$33=1,0,IF(F21&gt;=0,F21*Assumptions!$D$43,F21*Assumptions!$D$44*Assumptions!$D$45))</f>
        <v>-0</v>
      </c>
      <c r="G22" s="38" t="n">
        <f aca="false">IF(Assumptions!$D$33=1,0,IF(G21&gt;=0,G21*Assumptions!$D$43,G21*Assumptions!$D$44*Assumptions!$D$45))</f>
        <v>-0</v>
      </c>
      <c r="H22" s="38" t="n">
        <f aca="false">IF(Assumptions!$D$33=1,0,IF(H21&gt;=0,H21*Assumptions!$D$43,H21*Assumptions!$D$44*Assumptions!$D$45))</f>
        <v>-0</v>
      </c>
      <c r="I22" s="38" t="n">
        <f aca="false">IF(Assumptions!$D$33=1,0,IF(I21&gt;=0,I21*Assumptions!$D$43,I21*Assumptions!$D$44*Assumptions!$D$45))</f>
        <v>-0</v>
      </c>
      <c r="J22" s="38" t="n">
        <f aca="false">IF(Assumptions!$D$33=1,0,IF(J21&gt;=0,J21*Assumptions!$D$43,J21*Assumptions!$D$44*Assumptions!$D$45))</f>
        <v>-0</v>
      </c>
      <c r="K22" s="38" t="n">
        <f aca="false">IF(Assumptions!$D$33=1,0,IF(K21&gt;=0,K21*Assumptions!$D$43,K21*Assumptions!$D$44*Assumptions!$D$45))</f>
        <v>-0</v>
      </c>
      <c r="L22" s="38" t="n">
        <f aca="false">IF(Assumptions!$D$33=1,0,IF(L21&gt;=0,L21*Assumptions!$D$43,L21*Assumptions!$D$44*Assumptions!$D$45))</f>
        <v>-0</v>
      </c>
      <c r="M22" s="38" t="n">
        <f aca="false">IF(Assumptions!$D$33=1,0,IF(M21&gt;=0,M21*Assumptions!$D$43,M21*Assumptions!$D$44*Assumptions!$D$45))</f>
        <v>-0</v>
      </c>
      <c r="N22" s="38" t="n">
        <f aca="false">IF(Assumptions!$D$33=1,0,IF(N21&gt;=0,N21*Assumptions!$D$43,N21*Assumptions!$D$44*Assumptions!$D$45))</f>
        <v>-0</v>
      </c>
      <c r="O22" s="38" t="n">
        <f aca="false">SUM(C22:N22)</f>
        <v>0</v>
      </c>
    </row>
    <row r="23" customFormat="false" ht="15" hidden="false" customHeight="false" outlineLevel="0" collapsed="false">
      <c r="A23" s="10" t="s">
        <v>134</v>
      </c>
      <c r="C23" s="39" t="n">
        <f aca="false">C15+C16+C17+C18+C22</f>
        <v>12562.5</v>
      </c>
      <c r="D23" s="39" t="n">
        <f aca="false">D15+D16+D17+D18+D22</f>
        <v>12688.125</v>
      </c>
      <c r="E23" s="39" t="n">
        <f aca="false">E15+E16+E17+E18+E22</f>
        <v>12815.00625</v>
      </c>
      <c r="F23" s="39" t="n">
        <f aca="false">F15+F16+F17+F18+F22</f>
        <v>12943.1563125</v>
      </c>
      <c r="G23" s="39" t="n">
        <f aca="false">G15+G16+G17+G18+G22</f>
        <v>13072.587875625</v>
      </c>
      <c r="H23" s="39" t="n">
        <f aca="false">H15+H16+H17+H18+H22</f>
        <v>13203.3137543812</v>
      </c>
      <c r="I23" s="39" t="n">
        <f aca="false">I15+I16+I17+I18+I22</f>
        <v>13335.3468919251</v>
      </c>
      <c r="J23" s="39" t="n">
        <f aca="false">J15+J16+J17+J18+J22</f>
        <v>13468.7003608443</v>
      </c>
      <c r="K23" s="39" t="n">
        <f aca="false">K15+K16+K17+K18+K22</f>
        <v>13603.3873644528</v>
      </c>
      <c r="L23" s="39" t="n">
        <f aca="false">L15+L16+L17+L18+L22</f>
        <v>13739.4212380973</v>
      </c>
      <c r="M23" s="39" t="n">
        <f aca="false">M15+M16+M17+M18+M22</f>
        <v>13876.8154504783</v>
      </c>
      <c r="N23" s="39" t="n">
        <f aca="false">N15+N16+N17+N18+N22</f>
        <v>14015.583604983</v>
      </c>
      <c r="O23" s="39" t="n">
        <f aca="false">SUM(C23:N23)</f>
        <v>159323.944103287</v>
      </c>
    </row>
    <row r="25" customFormat="false" ht="15" hidden="false" customHeight="false" outlineLevel="0" collapsed="false">
      <c r="A25" s="16" t="s">
        <v>135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customFormat="false" ht="15" hidden="false" customHeight="false" outlineLevel="0" collapsed="false">
      <c r="A26" s="5" t="s">
        <v>136</v>
      </c>
      <c r="C26" s="38" t="n">
        <f aca="false">Assumptions!$D$33*C20</f>
        <v>0</v>
      </c>
      <c r="D26" s="38" t="n">
        <f aca="false">Assumptions!$D$33*D20</f>
        <v>0</v>
      </c>
      <c r="E26" s="38" t="n">
        <f aca="false">Assumptions!$D$33*E20</f>
        <v>0</v>
      </c>
      <c r="F26" s="38" t="n">
        <f aca="false">Assumptions!$D$33*F20</f>
        <v>0</v>
      </c>
      <c r="G26" s="38" t="n">
        <f aca="false">Assumptions!$D$33*G20</f>
        <v>0</v>
      </c>
      <c r="H26" s="38" t="n">
        <f aca="false">Assumptions!$D$33*H20</f>
        <v>0</v>
      </c>
      <c r="I26" s="38" t="n">
        <f aca="false">Assumptions!$D$33*I20</f>
        <v>0</v>
      </c>
      <c r="J26" s="38" t="n">
        <f aca="false">Assumptions!$D$33*J20</f>
        <v>0</v>
      </c>
      <c r="K26" s="38" t="n">
        <f aca="false">Assumptions!$D$33*K20</f>
        <v>0</v>
      </c>
      <c r="L26" s="38" t="n">
        <f aca="false">Assumptions!$D$33*L20</f>
        <v>0</v>
      </c>
      <c r="M26" s="38" t="n">
        <f aca="false">Assumptions!$D$33*M20</f>
        <v>0</v>
      </c>
      <c r="N26" s="38" t="n">
        <f aca="false">Assumptions!$D$33*N20</f>
        <v>0</v>
      </c>
      <c r="O26" s="38" t="n">
        <f aca="false">SUM(C26:N26)</f>
        <v>0</v>
      </c>
    </row>
    <row r="27" customFormat="false" ht="15" hidden="false" customHeight="false" outlineLevel="0" collapsed="false">
      <c r="A27" s="5" t="s">
        <v>137</v>
      </c>
      <c r="C27" s="38" t="n">
        <f aca="false">Assumptions!$D$33*C6*Assumptions!$D$47</f>
        <v>0</v>
      </c>
      <c r="D27" s="38" t="n">
        <f aca="false">Assumptions!$D$33*D6*Assumptions!$D$47</f>
        <v>0</v>
      </c>
      <c r="E27" s="38" t="n">
        <f aca="false">Assumptions!$D$33*E6*Assumptions!$D$47</f>
        <v>0</v>
      </c>
      <c r="F27" s="38" t="n">
        <f aca="false">Assumptions!$D$33*F6*Assumptions!$D$47</f>
        <v>0</v>
      </c>
      <c r="G27" s="38" t="n">
        <f aca="false">Assumptions!$D$33*G6*Assumptions!$D$47</f>
        <v>0</v>
      </c>
      <c r="H27" s="38" t="n">
        <f aca="false">Assumptions!$D$33*H6*Assumptions!$D$47</f>
        <v>0</v>
      </c>
      <c r="I27" s="38" t="n">
        <f aca="false">Assumptions!$D$33*I6*Assumptions!$D$47</f>
        <v>0</v>
      </c>
      <c r="J27" s="38" t="n">
        <f aca="false">Assumptions!$D$33*J6*Assumptions!$D$47</f>
        <v>0</v>
      </c>
      <c r="K27" s="38" t="n">
        <f aca="false">Assumptions!$D$33*K6*Assumptions!$D$47</f>
        <v>0</v>
      </c>
      <c r="L27" s="38" t="n">
        <f aca="false">Assumptions!$D$33*L6*Assumptions!$D$47</f>
        <v>0</v>
      </c>
      <c r="M27" s="38" t="n">
        <f aca="false">Assumptions!$D$33*M6*Assumptions!$D$47</f>
        <v>0</v>
      </c>
      <c r="N27" s="38" t="n">
        <f aca="false">Assumptions!$D$33*N6*Assumptions!$D$47</f>
        <v>0</v>
      </c>
      <c r="O27" s="38" t="n">
        <f aca="false">SUM(C27:N27)</f>
        <v>0</v>
      </c>
    </row>
    <row r="28" customFormat="false" ht="15" hidden="false" customHeight="false" outlineLevel="0" collapsed="false">
      <c r="A28" s="5" t="s">
        <v>138</v>
      </c>
      <c r="C28" s="38" t="n">
        <f aca="false">-Assumptions!$D$33*C6*Assumptions!$D$48</f>
        <v>-0</v>
      </c>
      <c r="D28" s="38" t="n">
        <f aca="false">-Assumptions!$D$33*D6*Assumptions!$D$48</f>
        <v>-0</v>
      </c>
      <c r="E28" s="38" t="n">
        <f aca="false">-Assumptions!$D$33*E6*Assumptions!$D$48</f>
        <v>-0</v>
      </c>
      <c r="F28" s="38" t="n">
        <f aca="false">-Assumptions!$D$33*F6*Assumptions!$D$48</f>
        <v>-0</v>
      </c>
      <c r="G28" s="38" t="n">
        <f aca="false">-Assumptions!$D$33*G6*Assumptions!$D$48</f>
        <v>-0</v>
      </c>
      <c r="H28" s="38" t="n">
        <f aca="false">-Assumptions!$D$33*H6*Assumptions!$D$48</f>
        <v>-0</v>
      </c>
      <c r="I28" s="38" t="n">
        <f aca="false">-Assumptions!$D$33*I6*Assumptions!$D$48</f>
        <v>-0</v>
      </c>
      <c r="J28" s="38" t="n">
        <f aca="false">-Assumptions!$D$33*J6*Assumptions!$D$48</f>
        <v>-0</v>
      </c>
      <c r="K28" s="38" t="n">
        <f aca="false">-Assumptions!$D$33*K6*Assumptions!$D$48</f>
        <v>-0</v>
      </c>
      <c r="L28" s="38" t="n">
        <f aca="false">-Assumptions!$D$33*L6*Assumptions!$D$48</f>
        <v>-0</v>
      </c>
      <c r="M28" s="38" t="n">
        <f aca="false">-Assumptions!$D$33*M6*Assumptions!$D$48</f>
        <v>-0</v>
      </c>
      <c r="N28" s="38" t="n">
        <f aca="false">-Assumptions!$D$33*N6*Assumptions!$D$48</f>
        <v>-0</v>
      </c>
      <c r="O28" s="38" t="n">
        <f aca="false">SUM(C28:N28)</f>
        <v>0</v>
      </c>
    </row>
    <row r="29" customFormat="false" ht="15" hidden="false" customHeight="false" outlineLevel="0" collapsed="false">
      <c r="A29" s="10" t="s">
        <v>139</v>
      </c>
      <c r="C29" s="39" t="n">
        <f aca="false">C26+C27+C28</f>
        <v>0</v>
      </c>
      <c r="D29" s="39" t="n">
        <f aca="false">D26+D27+D28</f>
        <v>0</v>
      </c>
      <c r="E29" s="39" t="n">
        <f aca="false">E26+E27+E28</f>
        <v>0</v>
      </c>
      <c r="F29" s="39" t="n">
        <f aca="false">F26+F27+F28</f>
        <v>0</v>
      </c>
      <c r="G29" s="39" t="n">
        <f aca="false">G26+G27+G28</f>
        <v>0</v>
      </c>
      <c r="H29" s="39" t="n">
        <f aca="false">H26+H27+H28</f>
        <v>0</v>
      </c>
      <c r="I29" s="39" t="n">
        <f aca="false">I26+I27+I28</f>
        <v>0</v>
      </c>
      <c r="J29" s="39" t="n">
        <f aca="false">J26+J27+J28</f>
        <v>0</v>
      </c>
      <c r="K29" s="39" t="n">
        <f aca="false">K26+K27+K28</f>
        <v>0</v>
      </c>
      <c r="L29" s="39" t="n">
        <f aca="false">L26+L27+L28</f>
        <v>0</v>
      </c>
      <c r="M29" s="39" t="n">
        <f aca="false">M26+M27+M28</f>
        <v>0</v>
      </c>
      <c r="N29" s="39" t="n">
        <f aca="false">N26+N27+N28</f>
        <v>0</v>
      </c>
      <c r="O29" s="39" t="n">
        <f aca="false">SUM(C29:N29)</f>
        <v>0</v>
      </c>
    </row>
    <row r="31" customFormat="false" ht="15" hidden="false" customHeight="false" outlineLevel="0" collapsed="false">
      <c r="A31" s="16" t="s">
        <v>140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customFormat="false" ht="15" hidden="false" customHeight="false" outlineLevel="0" collapsed="false">
      <c r="A32" s="10" t="s">
        <v>141</v>
      </c>
      <c r="C32" s="39" t="n">
        <f aca="false">C23-C29</f>
        <v>12562.5</v>
      </c>
      <c r="D32" s="39" t="n">
        <f aca="false">D23-D29</f>
        <v>12688.125</v>
      </c>
      <c r="E32" s="39" t="n">
        <f aca="false">E23-E29</f>
        <v>12815.00625</v>
      </c>
      <c r="F32" s="39" t="n">
        <f aca="false">F23-F29</f>
        <v>12943.1563125</v>
      </c>
      <c r="G32" s="39" t="n">
        <f aca="false">G23-G29</f>
        <v>13072.587875625</v>
      </c>
      <c r="H32" s="39" t="n">
        <f aca="false">H23-H29</f>
        <v>13203.3137543812</v>
      </c>
      <c r="I32" s="39" t="n">
        <f aca="false">I23-I29</f>
        <v>13335.3468919251</v>
      </c>
      <c r="J32" s="39" t="n">
        <f aca="false">J23-J29</f>
        <v>13468.7003608443</v>
      </c>
      <c r="K32" s="39" t="n">
        <f aca="false">K23-K29</f>
        <v>13603.3873644528</v>
      </c>
      <c r="L32" s="39" t="n">
        <f aca="false">L23-L29</f>
        <v>13739.4212380973</v>
      </c>
      <c r="M32" s="39" t="n">
        <f aca="false">M23-M29</f>
        <v>13876.8154504783</v>
      </c>
      <c r="N32" s="39" t="n">
        <f aca="false">N23-N29</f>
        <v>14015.583604983</v>
      </c>
      <c r="O32" s="39" t="n">
        <f aca="false">SUM(C32:N32)</f>
        <v>159323.944103287</v>
      </c>
    </row>
    <row r="33" customFormat="false" ht="15" hidden="false" customHeight="false" outlineLevel="0" collapsed="false">
      <c r="A33" s="5" t="s">
        <v>142</v>
      </c>
      <c r="C33" s="42" t="n">
        <f aca="false">IF(C6=0,0,C20/(C6*C10*C9))</f>
        <v>0.998755555555556</v>
      </c>
      <c r="D33" s="42" t="n">
        <f aca="false">IF(D6=0,0,D20/(D6*D10*D9))</f>
        <v>0.993616161616162</v>
      </c>
      <c r="E33" s="42" t="n">
        <f aca="false">IF(E6=0,0,E20/(E6*E10*E9))</f>
        <v>0.988476767676768</v>
      </c>
      <c r="F33" s="42" t="n">
        <f aca="false">IF(F6=0,0,F20/(F6*F10*F9))</f>
        <v>0.983337373737374</v>
      </c>
      <c r="G33" s="42" t="n">
        <f aca="false">IF(G6=0,0,G20/(G6*G10*G9))</f>
        <v>0.97819797979798</v>
      </c>
      <c r="H33" s="42" t="n">
        <f aca="false">IF(H6=0,0,H20/(H6*H10*H9))</f>
        <v>0.973058585858586</v>
      </c>
      <c r="I33" s="42" t="n">
        <f aca="false">IF(I6=0,0,I20/(I6*I10*I9))</f>
        <v>0.967919191919192</v>
      </c>
      <c r="J33" s="42" t="n">
        <f aca="false">IF(J6=0,0,J20/(J6*J10*J9))</f>
        <v>0.962779797979798</v>
      </c>
      <c r="K33" s="42" t="n">
        <f aca="false">IF(K6=0,0,K20/(K6*K10*K9))</f>
        <v>0.957640404040404</v>
      </c>
      <c r="L33" s="42" t="n">
        <f aca="false">IF(L6=0,0,L20/(L6*L10*L9))</f>
        <v>0.95250101010101</v>
      </c>
      <c r="M33" s="42" t="n">
        <f aca="false">IF(M6=0,0,M20/(M6*M10*M9))</f>
        <v>0.947361616161616</v>
      </c>
      <c r="N33" s="42" t="n">
        <f aca="false">IF(N6=0,0,N20/(N6*N10*N9))</f>
        <v>0.942222222222222</v>
      </c>
      <c r="O33" s="42" t="n">
        <f aca="false">O20/SUMPRODUCT(C6:N6,C10:N10,C9:N9)</f>
        <v>0.969879632167189</v>
      </c>
    </row>
    <row r="34" customFormat="false" ht="15" hidden="false" customHeight="false" outlineLevel="0" collapsed="false">
      <c r="A34" s="5" t="s">
        <v>143</v>
      </c>
      <c r="C34" s="38" t="n">
        <f aca="false">IF(C6=0,0,C32/C6)</f>
        <v>50</v>
      </c>
      <c r="D34" s="38" t="n">
        <f aca="false">IF(D6=0,0,D32/D6)</f>
        <v>50</v>
      </c>
      <c r="E34" s="38" t="n">
        <f aca="false">IF(E6=0,0,E32/E6)</f>
        <v>50</v>
      </c>
      <c r="F34" s="38" t="n">
        <f aca="false">IF(F6=0,0,F32/F6)</f>
        <v>50</v>
      </c>
      <c r="G34" s="38" t="n">
        <f aca="false">IF(G6=0,0,G32/G6)</f>
        <v>50</v>
      </c>
      <c r="H34" s="38" t="n">
        <f aca="false">IF(H6=0,0,H32/H6)</f>
        <v>50</v>
      </c>
      <c r="I34" s="38" t="n">
        <f aca="false">IF(I6=0,0,I32/I6)</f>
        <v>50</v>
      </c>
      <c r="J34" s="38" t="n">
        <f aca="false">IF(J6=0,0,J32/J6)</f>
        <v>50</v>
      </c>
      <c r="K34" s="38" t="n">
        <f aca="false">IF(K6=0,0,K32/K6)</f>
        <v>50</v>
      </c>
      <c r="L34" s="38" t="n">
        <f aca="false">IF(L6=0,0,L32/L6)</f>
        <v>50</v>
      </c>
      <c r="M34" s="38" t="n">
        <f aca="false">IF(M6=0,0,M32/M6)</f>
        <v>50</v>
      </c>
      <c r="N34" s="38" t="n">
        <f aca="false">IF(N6=0,0,N32/N6)</f>
        <v>50</v>
      </c>
      <c r="O34" s="38" t="n">
        <f aca="false">O32/O6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"/>
    <col collapsed="false" customWidth="true" hidden="false" outlineLevel="0" max="14" min="3" style="0" width="10"/>
    <col collapsed="false" customWidth="true" hidden="false" outlineLevel="0" max="15" min="15" style="0" width="13"/>
  </cols>
  <sheetData>
    <row r="1" customFormat="false" ht="16.15" hidden="false" customHeight="false" outlineLevel="0" collapsed="false">
      <c r="A1" s="31" t="s">
        <v>146</v>
      </c>
    </row>
    <row r="2" customFormat="false" ht="15" hidden="false" customHeight="false" outlineLevel="0" collapsed="false">
      <c r="A2" s="14" t="s">
        <v>103</v>
      </c>
      <c r="C2" s="32" t="s">
        <v>104</v>
      </c>
      <c r="D2" s="32" t="s">
        <v>105</v>
      </c>
      <c r="E2" s="32" t="s">
        <v>106</v>
      </c>
      <c r="F2" s="32" t="s">
        <v>107</v>
      </c>
      <c r="G2" s="32" t="s">
        <v>108</v>
      </c>
      <c r="H2" s="32" t="s">
        <v>109</v>
      </c>
      <c r="I2" s="32" t="s">
        <v>110</v>
      </c>
      <c r="J2" s="32" t="s">
        <v>111</v>
      </c>
      <c r="K2" s="32" t="s">
        <v>112</v>
      </c>
      <c r="L2" s="32" t="s">
        <v>113</v>
      </c>
      <c r="M2" s="32" t="s">
        <v>114</v>
      </c>
      <c r="N2" s="32" t="s">
        <v>115</v>
      </c>
      <c r="O2" s="33" t="s">
        <v>98</v>
      </c>
    </row>
    <row r="3" customFormat="false" ht="15" hidden="false" customHeight="false" outlineLevel="0" collapsed="false">
      <c r="A3" s="16" t="s">
        <v>116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customFormat="false" ht="15" hidden="false" customHeight="false" outlineLevel="0" collapsed="false">
      <c r="A4" s="5" t="s">
        <v>117</v>
      </c>
      <c r="C4" s="34" t="n">
        <f aca="false">Assumptions!$E$34</f>
        <v>200</v>
      </c>
      <c r="D4" s="35" t="n">
        <f aca="false">C5</f>
        <v>203</v>
      </c>
      <c r="E4" s="35" t="n">
        <f aca="false">D5</f>
        <v>206.045</v>
      </c>
      <c r="F4" s="35" t="n">
        <f aca="false">E5</f>
        <v>209.135675</v>
      </c>
      <c r="G4" s="35" t="n">
        <f aca="false">F5</f>
        <v>212.272710125</v>
      </c>
      <c r="H4" s="35" t="n">
        <f aca="false">G5</f>
        <v>215.456800776875</v>
      </c>
      <c r="I4" s="35" t="n">
        <f aca="false">H5</f>
        <v>218.688652788528</v>
      </c>
      <c r="J4" s="35" t="n">
        <f aca="false">I5</f>
        <v>221.968982580356</v>
      </c>
      <c r="K4" s="35" t="n">
        <f aca="false">J5</f>
        <v>225.298517319061</v>
      </c>
      <c r="L4" s="35" t="n">
        <f aca="false">K5</f>
        <v>228.677995078847</v>
      </c>
      <c r="M4" s="35" t="n">
        <f aca="false">L5</f>
        <v>232.10816500503</v>
      </c>
      <c r="N4" s="35" t="n">
        <f aca="false">M5</f>
        <v>235.589787480105</v>
      </c>
    </row>
    <row r="5" customFormat="false" ht="15" hidden="false" customHeight="false" outlineLevel="0" collapsed="false">
      <c r="A5" s="5" t="s">
        <v>118</v>
      </c>
      <c r="C5" s="35" t="n">
        <f aca="false">C4*(1+Assumptions!$E$35)</f>
        <v>203</v>
      </c>
      <c r="D5" s="35" t="n">
        <f aca="false">D4*(1+Assumptions!$E$35)</f>
        <v>206.045</v>
      </c>
      <c r="E5" s="35" t="n">
        <f aca="false">E4*(1+Assumptions!$E$35)</f>
        <v>209.135675</v>
      </c>
      <c r="F5" s="35" t="n">
        <f aca="false">F4*(1+Assumptions!$E$35)</f>
        <v>212.272710125</v>
      </c>
      <c r="G5" s="35" t="n">
        <f aca="false">G4*(1+Assumptions!$E$35)</f>
        <v>215.456800776875</v>
      </c>
      <c r="H5" s="35" t="n">
        <f aca="false">H4*(1+Assumptions!$E$35)</f>
        <v>218.688652788528</v>
      </c>
      <c r="I5" s="35" t="n">
        <f aca="false">I4*(1+Assumptions!$E$35)</f>
        <v>221.968982580356</v>
      </c>
      <c r="J5" s="35" t="n">
        <f aca="false">J4*(1+Assumptions!$E$35)</f>
        <v>225.298517319061</v>
      </c>
      <c r="K5" s="35" t="n">
        <f aca="false">K4*(1+Assumptions!$E$35)</f>
        <v>228.677995078847</v>
      </c>
      <c r="L5" s="35" t="n">
        <f aca="false">L4*(1+Assumptions!$E$35)</f>
        <v>232.10816500503</v>
      </c>
      <c r="M5" s="35" t="n">
        <f aca="false">M4*(1+Assumptions!$E$35)</f>
        <v>235.589787480105</v>
      </c>
      <c r="N5" s="35" t="n">
        <f aca="false">N4*(1+Assumptions!$E$35)</f>
        <v>239.123634292307</v>
      </c>
      <c r="O5" s="35" t="n">
        <f aca="false">N5</f>
        <v>239.123634292307</v>
      </c>
    </row>
    <row r="6" customFormat="false" ht="15" hidden="false" customHeight="false" outlineLevel="0" collapsed="false">
      <c r="A6" s="10" t="s">
        <v>119</v>
      </c>
      <c r="C6" s="36" t="n">
        <f aca="false">AVERAGE(C4,C5)</f>
        <v>201.5</v>
      </c>
      <c r="D6" s="36" t="n">
        <f aca="false">AVERAGE(D4,D5)</f>
        <v>204.5225</v>
      </c>
      <c r="E6" s="36" t="n">
        <f aca="false">AVERAGE(E4,E5)</f>
        <v>207.5903375</v>
      </c>
      <c r="F6" s="36" t="n">
        <f aca="false">AVERAGE(F4,F5)</f>
        <v>210.7041925625</v>
      </c>
      <c r="G6" s="36" t="n">
        <f aca="false">AVERAGE(G4,G5)</f>
        <v>213.864755450937</v>
      </c>
      <c r="H6" s="36" t="n">
        <f aca="false">AVERAGE(H4,H5)</f>
        <v>217.072726782701</v>
      </c>
      <c r="I6" s="36" t="n">
        <f aca="false">AVERAGE(I4,I5)</f>
        <v>220.328817684442</v>
      </c>
      <c r="J6" s="36" t="n">
        <f aca="false">AVERAGE(J4,J5)</f>
        <v>223.633749949709</v>
      </c>
      <c r="K6" s="36" t="n">
        <f aca="false">AVERAGE(K4,K5)</f>
        <v>226.988256198954</v>
      </c>
      <c r="L6" s="36" t="n">
        <f aca="false">AVERAGE(L4,L5)</f>
        <v>230.393080041938</v>
      </c>
      <c r="M6" s="36" t="n">
        <f aca="false">AVERAGE(M4,M5)</f>
        <v>233.848976242568</v>
      </c>
      <c r="N6" s="36" t="n">
        <f aca="false">AVERAGE(N4,N5)</f>
        <v>237.356710886206</v>
      </c>
      <c r="O6" s="36" t="n">
        <f aca="false">SUM(C6:N6)</f>
        <v>2627.80410329996</v>
      </c>
    </row>
    <row r="8" customFormat="false" ht="15" hidden="false" customHeight="false" outlineLevel="0" collapsed="false">
      <c r="A8" s="16" t="s">
        <v>120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customFormat="false" ht="15" hidden="false" customHeight="false" outlineLevel="0" collapsed="false">
      <c r="A9" s="5" t="s">
        <v>121</v>
      </c>
      <c r="C9" s="37" t="n">
        <f aca="false">Assumptions!$E$36*Assumptions!$B$52</f>
        <v>0.945</v>
      </c>
      <c r="D9" s="37" t="n">
        <f aca="false">Assumptions!$E$36*Assumptions!$B$52</f>
        <v>0.945</v>
      </c>
      <c r="E9" s="37" t="n">
        <f aca="false">Assumptions!$E$36*Assumptions!$B$52</f>
        <v>0.945</v>
      </c>
      <c r="F9" s="37" t="n">
        <f aca="false">Assumptions!$E$36*Assumptions!$B$52</f>
        <v>0.945</v>
      </c>
      <c r="G9" s="37" t="n">
        <f aca="false">Assumptions!$E$36*Assumptions!$B$52</f>
        <v>0.945</v>
      </c>
      <c r="H9" s="37" t="n">
        <f aca="false">Assumptions!$E$36*Assumptions!$B$52</f>
        <v>0.945</v>
      </c>
      <c r="I9" s="37" t="n">
        <f aca="false">Assumptions!$E$36*Assumptions!$B$52</f>
        <v>0.945</v>
      </c>
      <c r="J9" s="37" t="n">
        <f aca="false">Assumptions!$E$36*Assumptions!$B$52</f>
        <v>0.945</v>
      </c>
      <c r="K9" s="37" t="n">
        <f aca="false">Assumptions!$E$36*Assumptions!$B$52</f>
        <v>0.945</v>
      </c>
      <c r="L9" s="37" t="n">
        <f aca="false">Assumptions!$E$36*Assumptions!$B$52</f>
        <v>0.945</v>
      </c>
      <c r="M9" s="37" t="n">
        <f aca="false">Assumptions!$E$36*Assumptions!$B$52</f>
        <v>0.945</v>
      </c>
      <c r="N9" s="37" t="n">
        <f aca="false">Assumptions!$E$36*Assumptions!$B$52</f>
        <v>0.945</v>
      </c>
    </row>
    <row r="10" customFormat="false" ht="15" hidden="false" customHeight="false" outlineLevel="0" collapsed="false">
      <c r="A10" s="5" t="s">
        <v>122</v>
      </c>
      <c r="C10" s="38" t="n">
        <f aca="false">Assumptions!$E$37</f>
        <v>1150</v>
      </c>
      <c r="D10" s="38" t="n">
        <f aca="false">Assumptions!$E$37</f>
        <v>1150</v>
      </c>
      <c r="E10" s="38" t="n">
        <f aca="false">Assumptions!$E$37</f>
        <v>1150</v>
      </c>
      <c r="F10" s="38" t="n">
        <f aca="false">Assumptions!$E$37</f>
        <v>1150</v>
      </c>
      <c r="G10" s="38" t="n">
        <f aca="false">Assumptions!$E$37</f>
        <v>1150</v>
      </c>
      <c r="H10" s="38" t="n">
        <f aca="false">Assumptions!$E$37</f>
        <v>1150</v>
      </c>
      <c r="I10" s="38" t="n">
        <f aca="false">Assumptions!$E$37</f>
        <v>1150</v>
      </c>
      <c r="J10" s="38" t="n">
        <f aca="false">Assumptions!$E$37</f>
        <v>1150</v>
      </c>
      <c r="K10" s="38" t="n">
        <f aca="false">Assumptions!$E$37</f>
        <v>1150</v>
      </c>
      <c r="L10" s="38" t="n">
        <f aca="false">Assumptions!$E$37</f>
        <v>1150</v>
      </c>
      <c r="M10" s="38" t="n">
        <f aca="false">Assumptions!$E$37</f>
        <v>1150</v>
      </c>
      <c r="N10" s="38" t="n">
        <f aca="false">Assumptions!$E$37</f>
        <v>1150</v>
      </c>
    </row>
    <row r="11" customFormat="false" ht="15" hidden="false" customHeight="false" outlineLevel="0" collapsed="false">
      <c r="A11" s="5" t="s">
        <v>123</v>
      </c>
      <c r="C11" s="37" t="n">
        <f aca="false">Assumptions!$B$9+(Assumptions!$B$10-Assumptions!$B$9)*(0)/11</f>
        <v>1.06</v>
      </c>
      <c r="D11" s="37" t="n">
        <f aca="false">Assumptions!$B$9+(Assumptions!$B$10-Assumptions!$B$9)*(1)/11</f>
        <v>1.05454545454545</v>
      </c>
      <c r="E11" s="37" t="n">
        <f aca="false">Assumptions!$B$9+(Assumptions!$B$10-Assumptions!$B$9)*(2)/11</f>
        <v>1.04909090909091</v>
      </c>
      <c r="F11" s="37" t="n">
        <f aca="false">Assumptions!$B$9+(Assumptions!$B$10-Assumptions!$B$9)*(3)/11</f>
        <v>1.04363636363636</v>
      </c>
      <c r="G11" s="37" t="n">
        <f aca="false">Assumptions!$B$9+(Assumptions!$B$10-Assumptions!$B$9)*(4)/11</f>
        <v>1.03818181818182</v>
      </c>
      <c r="H11" s="37" t="n">
        <f aca="false">Assumptions!$B$9+(Assumptions!$B$10-Assumptions!$B$9)*(5)/11</f>
        <v>1.03272727272727</v>
      </c>
      <c r="I11" s="37" t="n">
        <f aca="false">Assumptions!$B$9+(Assumptions!$B$10-Assumptions!$B$9)*(6)/11</f>
        <v>1.02727272727273</v>
      </c>
      <c r="J11" s="37" t="n">
        <f aca="false">Assumptions!$B$9+(Assumptions!$B$10-Assumptions!$B$9)*(7)/11</f>
        <v>1.02181818181818</v>
      </c>
      <c r="K11" s="37" t="n">
        <f aca="false">Assumptions!$B$9+(Assumptions!$B$10-Assumptions!$B$9)*(8)/11</f>
        <v>1.01636363636364</v>
      </c>
      <c r="L11" s="37" t="n">
        <f aca="false">Assumptions!$B$9+(Assumptions!$B$10-Assumptions!$B$9)*(9)/11</f>
        <v>1.01090909090909</v>
      </c>
      <c r="M11" s="37" t="n">
        <f aca="false">Assumptions!$B$9+(Assumptions!$B$10-Assumptions!$B$9)*(10)/11</f>
        <v>1.00545454545455</v>
      </c>
      <c r="N11" s="37" t="n">
        <f aca="false">Assumptions!$B$9+(Assumptions!$B$10-Assumptions!$B$9)*(11)/11</f>
        <v>1</v>
      </c>
    </row>
    <row r="12" customFormat="false" ht="15" hidden="false" customHeight="false" outlineLevel="0" collapsed="false">
      <c r="A12" s="10" t="s">
        <v>124</v>
      </c>
      <c r="C12" s="39" t="n">
        <f aca="false">Assumptions!$E$46*C11</f>
        <v>1070.6</v>
      </c>
      <c r="D12" s="39" t="n">
        <f aca="false">Assumptions!$E$46*D11</f>
        <v>1065.09090909091</v>
      </c>
      <c r="E12" s="39" t="n">
        <f aca="false">Assumptions!$E$46*E11</f>
        <v>1059.58181818182</v>
      </c>
      <c r="F12" s="39" t="n">
        <f aca="false">Assumptions!$E$46*F11</f>
        <v>1054.07272727273</v>
      </c>
      <c r="G12" s="39" t="n">
        <f aca="false">Assumptions!$E$46*G11</f>
        <v>1048.56363636364</v>
      </c>
      <c r="H12" s="39" t="n">
        <f aca="false">Assumptions!$E$46*H11</f>
        <v>1043.05454545455</v>
      </c>
      <c r="I12" s="39" t="n">
        <f aca="false">Assumptions!$E$46*I11</f>
        <v>1037.54545454545</v>
      </c>
      <c r="J12" s="39" t="n">
        <f aca="false">Assumptions!$E$46*J11</f>
        <v>1032.03636363636</v>
      </c>
      <c r="K12" s="39" t="n">
        <f aca="false">Assumptions!$E$46*K11</f>
        <v>1026.52727272727</v>
      </c>
      <c r="L12" s="39" t="n">
        <f aca="false">Assumptions!$E$46*L11</f>
        <v>1021.01818181818</v>
      </c>
      <c r="M12" s="39" t="n">
        <f aca="false">Assumptions!$E$46*M11</f>
        <v>1015.50909090909</v>
      </c>
      <c r="N12" s="39" t="n">
        <f aca="false">Assumptions!$E$46*N11</f>
        <v>1010</v>
      </c>
    </row>
    <row r="14" customFormat="false" ht="15" hidden="false" customHeight="false" outlineLevel="0" collapsed="false">
      <c r="A14" s="16" t="s">
        <v>125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customFormat="false" ht="15" hidden="false" customHeight="false" outlineLevel="0" collapsed="false">
      <c r="A15" s="5" t="s">
        <v>126</v>
      </c>
      <c r="C15" s="38" t="n">
        <f aca="false">C6*C10*C9*Assumptions!$E$38</f>
        <v>0</v>
      </c>
      <c r="D15" s="38" t="n">
        <f aca="false">D6*D10*D9*Assumptions!$E$38</f>
        <v>0</v>
      </c>
      <c r="E15" s="38" t="n">
        <f aca="false">E6*E10*E9*Assumptions!$E$38</f>
        <v>0</v>
      </c>
      <c r="F15" s="38" t="n">
        <f aca="false">F6*F10*F9*Assumptions!$E$38</f>
        <v>0</v>
      </c>
      <c r="G15" s="38" t="n">
        <f aca="false">G6*G10*G9*Assumptions!$E$38</f>
        <v>0</v>
      </c>
      <c r="H15" s="38" t="n">
        <f aca="false">H6*H10*H9*Assumptions!$E$38</f>
        <v>0</v>
      </c>
      <c r="I15" s="38" t="n">
        <f aca="false">I6*I10*I9*Assumptions!$E$38</f>
        <v>0</v>
      </c>
      <c r="J15" s="38" t="n">
        <f aca="false">J6*J10*J9*Assumptions!$E$38</f>
        <v>0</v>
      </c>
      <c r="K15" s="38" t="n">
        <f aca="false">K6*K10*K9*Assumptions!$E$38</f>
        <v>0</v>
      </c>
      <c r="L15" s="38" t="n">
        <f aca="false">L6*L10*L9*Assumptions!$E$38</f>
        <v>0</v>
      </c>
      <c r="M15" s="38" t="n">
        <f aca="false">M6*M10*M9*Assumptions!$E$38</f>
        <v>0</v>
      </c>
      <c r="N15" s="38" t="n">
        <f aca="false">N6*N10*N9*Assumptions!$E$38</f>
        <v>0</v>
      </c>
      <c r="O15" s="38" t="n">
        <f aca="false">SUM(C15:N15)</f>
        <v>0</v>
      </c>
    </row>
    <row r="16" customFormat="false" ht="15" hidden="false" customHeight="false" outlineLevel="0" collapsed="false">
      <c r="A16" s="5" t="s">
        <v>127</v>
      </c>
      <c r="C16" s="38" t="n">
        <f aca="false">C6*Assumptions!$E$39</f>
        <v>0</v>
      </c>
      <c r="D16" s="38" t="n">
        <f aca="false">D6*Assumptions!$E$39</f>
        <v>0</v>
      </c>
      <c r="E16" s="38" t="n">
        <f aca="false">E6*Assumptions!$E$39</f>
        <v>0</v>
      </c>
      <c r="F16" s="38" t="n">
        <f aca="false">F6*Assumptions!$E$39</f>
        <v>0</v>
      </c>
      <c r="G16" s="38" t="n">
        <f aca="false">G6*Assumptions!$E$39</f>
        <v>0</v>
      </c>
      <c r="H16" s="38" t="n">
        <f aca="false">H6*Assumptions!$E$39</f>
        <v>0</v>
      </c>
      <c r="I16" s="38" t="n">
        <f aca="false">I6*Assumptions!$E$39</f>
        <v>0</v>
      </c>
      <c r="J16" s="38" t="n">
        <f aca="false">J6*Assumptions!$E$39</f>
        <v>0</v>
      </c>
      <c r="K16" s="38" t="n">
        <f aca="false">K6*Assumptions!$E$39</f>
        <v>0</v>
      </c>
      <c r="L16" s="38" t="n">
        <f aca="false">L6*Assumptions!$E$39</f>
        <v>0</v>
      </c>
      <c r="M16" s="38" t="n">
        <f aca="false">M6*Assumptions!$E$39</f>
        <v>0</v>
      </c>
      <c r="N16" s="38" t="n">
        <f aca="false">N6*Assumptions!$E$39</f>
        <v>0</v>
      </c>
      <c r="O16" s="38" t="n">
        <f aca="false">SUM(C16:N16)</f>
        <v>0</v>
      </c>
    </row>
    <row r="17" customFormat="false" ht="15" hidden="false" customHeight="false" outlineLevel="0" collapsed="false">
      <c r="A17" s="5" t="s">
        <v>128</v>
      </c>
      <c r="C17" s="38" t="n">
        <f aca="false">C6*Assumptions!$E$40</f>
        <v>16120</v>
      </c>
      <c r="D17" s="38" t="n">
        <f aca="false">D6*Assumptions!$E$40</f>
        <v>16361.8</v>
      </c>
      <c r="E17" s="38" t="n">
        <f aca="false">E6*Assumptions!$E$40</f>
        <v>16607.227</v>
      </c>
      <c r="F17" s="38" t="n">
        <f aca="false">F6*Assumptions!$E$40</f>
        <v>16856.335405</v>
      </c>
      <c r="G17" s="38" t="n">
        <f aca="false">G6*Assumptions!$E$40</f>
        <v>17109.180436075</v>
      </c>
      <c r="H17" s="38" t="n">
        <f aca="false">H6*Assumptions!$E$40</f>
        <v>17365.8181426161</v>
      </c>
      <c r="I17" s="38" t="n">
        <f aca="false">I6*Assumptions!$E$40</f>
        <v>17626.3054147554</v>
      </c>
      <c r="J17" s="38" t="n">
        <f aca="false">J6*Assumptions!$E$40</f>
        <v>17890.6999959767</v>
      </c>
      <c r="K17" s="38" t="n">
        <f aca="false">K6*Assumptions!$E$40</f>
        <v>18159.0604959163</v>
      </c>
      <c r="L17" s="38" t="n">
        <f aca="false">L6*Assumptions!$E$40</f>
        <v>18431.4464033551</v>
      </c>
      <c r="M17" s="38" t="n">
        <f aca="false">M6*Assumptions!$E$40</f>
        <v>18707.9180994054</v>
      </c>
      <c r="N17" s="38" t="n">
        <f aca="false">N6*Assumptions!$E$40</f>
        <v>18988.5368708965</v>
      </c>
      <c r="O17" s="38" t="n">
        <f aca="false">SUM(C17:N17)</f>
        <v>210224.328263996</v>
      </c>
    </row>
    <row r="18" customFormat="false" ht="15" hidden="false" customHeight="false" outlineLevel="0" collapsed="false">
      <c r="A18" s="5" t="s">
        <v>129</v>
      </c>
      <c r="C18" s="38" t="n">
        <f aca="false">C6*Assumptions!$E$41</f>
        <v>0</v>
      </c>
      <c r="D18" s="38" t="n">
        <f aca="false">D6*Assumptions!$E$41</f>
        <v>0</v>
      </c>
      <c r="E18" s="38" t="n">
        <f aca="false">E6*Assumptions!$E$41</f>
        <v>0</v>
      </c>
      <c r="F18" s="38" t="n">
        <f aca="false">F6*Assumptions!$E$41</f>
        <v>0</v>
      </c>
      <c r="G18" s="38" t="n">
        <f aca="false">G6*Assumptions!$E$41</f>
        <v>0</v>
      </c>
      <c r="H18" s="38" t="n">
        <f aca="false">H6*Assumptions!$E$41</f>
        <v>0</v>
      </c>
      <c r="I18" s="38" t="n">
        <f aca="false">I6*Assumptions!$E$41</f>
        <v>0</v>
      </c>
      <c r="J18" s="38" t="n">
        <f aca="false">J6*Assumptions!$E$41</f>
        <v>0</v>
      </c>
      <c r="K18" s="38" t="n">
        <f aca="false">K6*Assumptions!$E$41</f>
        <v>0</v>
      </c>
      <c r="L18" s="38" t="n">
        <f aca="false">L6*Assumptions!$E$41</f>
        <v>0</v>
      </c>
      <c r="M18" s="38" t="n">
        <f aca="false">M6*Assumptions!$E$41</f>
        <v>0</v>
      </c>
      <c r="N18" s="38" t="n">
        <f aca="false">N6*Assumptions!$E$41</f>
        <v>0</v>
      </c>
      <c r="O18" s="38" t="n">
        <f aca="false">SUM(C18:N18)</f>
        <v>0</v>
      </c>
    </row>
    <row r="19" customFormat="false" ht="15" hidden="false" customHeight="false" outlineLevel="0" collapsed="false">
      <c r="A19" s="40" t="s">
        <v>130</v>
      </c>
      <c r="C19" s="41" t="n">
        <f aca="false">C6*C10*C9*Assumptions!$E$42</f>
        <v>214600.5225</v>
      </c>
      <c r="D19" s="41" t="n">
        <f aca="false">D6*D10*D9*Assumptions!$E$42</f>
        <v>217819.5303375</v>
      </c>
      <c r="E19" s="41" t="n">
        <f aca="false">E6*E10*E9*Assumptions!$E$42</f>
        <v>221086.823292562</v>
      </c>
      <c r="F19" s="41" t="n">
        <f aca="false">F6*F10*F9*Assumptions!$E$42</f>
        <v>224403.125641951</v>
      </c>
      <c r="G19" s="41" t="n">
        <f aca="false">G6*G10*G9*Assumptions!$E$42</f>
        <v>227769.17252658</v>
      </c>
      <c r="H19" s="41" t="n">
        <f aca="false">H6*H10*H9*Assumptions!$E$42</f>
        <v>231185.710114479</v>
      </c>
      <c r="I19" s="41" t="n">
        <f aca="false">I6*I10*I9*Assumptions!$E$42</f>
        <v>234653.495766196</v>
      </c>
      <c r="J19" s="41" t="n">
        <f aca="false">J6*J10*J9*Assumptions!$E$42</f>
        <v>238173.298202689</v>
      </c>
      <c r="K19" s="41" t="n">
        <f aca="false">K6*K10*K9*Assumptions!$E$42</f>
        <v>241745.897675729</v>
      </c>
      <c r="L19" s="41" t="n">
        <f aca="false">L6*L10*L9*Assumptions!$E$42</f>
        <v>245372.086140865</v>
      </c>
      <c r="M19" s="41" t="n">
        <f aca="false">M6*M10*M9*Assumptions!$E$42</f>
        <v>249052.667432978</v>
      </c>
      <c r="N19" s="41" t="n">
        <f aca="false">N6*N10*N9*Assumptions!$E$42</f>
        <v>252788.457444473</v>
      </c>
      <c r="O19" s="41" t="n">
        <f aca="false">SUM(C19:N19)</f>
        <v>2798650.787076</v>
      </c>
    </row>
    <row r="20" customFormat="false" ht="15" hidden="false" customHeight="false" outlineLevel="0" collapsed="false">
      <c r="A20" s="40" t="s">
        <v>131</v>
      </c>
      <c r="C20" s="41" t="n">
        <f aca="false">C6*C12</f>
        <v>215725.9</v>
      </c>
      <c r="D20" s="41" t="n">
        <f aca="false">D6*D12</f>
        <v>217835.055454545</v>
      </c>
      <c r="E20" s="41" t="n">
        <f aca="false">E6*E12</f>
        <v>219958.947245227</v>
      </c>
      <c r="F20" s="41" t="n">
        <f aca="false">F6*F12</f>
        <v>222097.542902152</v>
      </c>
      <c r="G20" s="41" t="n">
        <f aca="false">G6*G12</f>
        <v>224250.805665655</v>
      </c>
      <c r="H20" s="41" t="n">
        <f aca="false">H6*H12</f>
        <v>226418.694364909</v>
      </c>
      <c r="I20" s="41" t="n">
        <f aca="false">I6*I12</f>
        <v>228601.163293867</v>
      </c>
      <c r="J20" s="41" t="n">
        <f aca="false">J6*J12</f>
        <v>230798.162084461</v>
      </c>
      <c r="K20" s="41" t="n">
        <f aca="false">K6*K12</f>
        <v>233009.635577032</v>
      </c>
      <c r="L20" s="41" t="n">
        <f aca="false">L6*L12</f>
        <v>235235.523687911</v>
      </c>
      <c r="M20" s="41" t="n">
        <f aca="false">M6*M12</f>
        <v>237475.761274111</v>
      </c>
      <c r="N20" s="41" t="n">
        <f aca="false">N6*N12</f>
        <v>239730.277995068</v>
      </c>
      <c r="O20" s="41" t="n">
        <f aca="false">SUM(C20:N20)</f>
        <v>2731137.46954494</v>
      </c>
    </row>
    <row r="21" customFormat="false" ht="15" hidden="false" customHeight="false" outlineLevel="0" collapsed="false">
      <c r="A21" s="40" t="s">
        <v>132</v>
      </c>
      <c r="C21" s="41" t="n">
        <f aca="false">C19-C20</f>
        <v>-1125.37750000003</v>
      </c>
      <c r="D21" s="41" t="n">
        <f aca="false">D19-D20</f>
        <v>-15.525117045443</v>
      </c>
      <c r="E21" s="41" t="n">
        <f aca="false">E19-E20</f>
        <v>1127.87604733525</v>
      </c>
      <c r="F21" s="41" t="n">
        <f aca="false">F19-F20</f>
        <v>2305.58273979864</v>
      </c>
      <c r="G21" s="41" t="n">
        <f aca="false">G19-G20</f>
        <v>3518.36686092534</v>
      </c>
      <c r="H21" s="41" t="n">
        <f aca="false">H19-H20</f>
        <v>4767.0157495694</v>
      </c>
      <c r="I21" s="41" t="n">
        <f aca="false">I19-I20</f>
        <v>6052.33247232906</v>
      </c>
      <c r="J21" s="41" t="n">
        <f aca="false">J19-J20</f>
        <v>7375.13611822788</v>
      </c>
      <c r="K21" s="41" t="n">
        <f aca="false">K19-K20</f>
        <v>8736.26209869728</v>
      </c>
      <c r="L21" s="41" t="n">
        <f aca="false">L19-L20</f>
        <v>10136.5624529542</v>
      </c>
      <c r="M21" s="41" t="n">
        <f aca="false">M19-M20</f>
        <v>11576.9061588668</v>
      </c>
      <c r="N21" s="41" t="n">
        <f aca="false">N19-N20</f>
        <v>13058.1794494046</v>
      </c>
      <c r="O21" s="41" t="n">
        <f aca="false">SUM(C21:N21)</f>
        <v>67513.317531063</v>
      </c>
    </row>
    <row r="22" customFormat="false" ht="15" hidden="false" customHeight="false" outlineLevel="0" collapsed="false">
      <c r="A22" s="5" t="s">
        <v>133</v>
      </c>
      <c r="C22" s="38" t="n">
        <f aca="false">IF(Assumptions!$E$33=1,0,IF(C21&gt;=0,C21*Assumptions!$E$43,C21*Assumptions!$E$44*Assumptions!$E$45))</f>
        <v>-562.688750000016</v>
      </c>
      <c r="D22" s="38" t="n">
        <f aca="false">IF(Assumptions!$E$33=1,0,IF(D21&gt;=0,D21*Assumptions!$E$43,D21*Assumptions!$E$44*Assumptions!$E$45))</f>
        <v>-7.76255852272152</v>
      </c>
      <c r="E22" s="38" t="n">
        <f aca="false">IF(Assumptions!$E$33=1,0,IF(E21&gt;=0,E21*Assumptions!$E$43,E21*Assumptions!$E$44*Assumptions!$E$45))</f>
        <v>563.938023667623</v>
      </c>
      <c r="F22" s="38" t="n">
        <f aca="false">IF(Assumptions!$E$33=1,0,IF(F21&gt;=0,F21*Assumptions!$E$43,F21*Assumptions!$E$44*Assumptions!$E$45))</f>
        <v>1152.79136989932</v>
      </c>
      <c r="G22" s="38" t="n">
        <f aca="false">IF(Assumptions!$E$33=1,0,IF(G21&gt;=0,G21*Assumptions!$E$43,G21*Assumptions!$E$44*Assumptions!$E$45))</f>
        <v>1759.18343046267</v>
      </c>
      <c r="H22" s="38" t="n">
        <f aca="false">IF(Assumptions!$E$33=1,0,IF(H21&gt;=0,H21*Assumptions!$E$43,H21*Assumptions!$E$44*Assumptions!$E$45))</f>
        <v>2383.5078747847</v>
      </c>
      <c r="I22" s="38" t="n">
        <f aca="false">IF(Assumptions!$E$33=1,0,IF(I21&gt;=0,I21*Assumptions!$E$43,I21*Assumptions!$E$44*Assumptions!$E$45))</f>
        <v>3026.16623616453</v>
      </c>
      <c r="J22" s="38" t="n">
        <f aca="false">IF(Assumptions!$E$33=1,0,IF(J21&gt;=0,J21*Assumptions!$E$43,J21*Assumptions!$E$44*Assumptions!$E$45))</f>
        <v>3687.56805911394</v>
      </c>
      <c r="K22" s="38" t="n">
        <f aca="false">IF(Assumptions!$E$33=1,0,IF(K21&gt;=0,K21*Assumptions!$E$43,K21*Assumptions!$E$44*Assumptions!$E$45))</f>
        <v>4368.13104934864</v>
      </c>
      <c r="L22" s="38" t="n">
        <f aca="false">IF(Assumptions!$E$33=1,0,IF(L21&gt;=0,L21*Assumptions!$E$43,L21*Assumptions!$E$44*Assumptions!$E$45))</f>
        <v>5068.28122647712</v>
      </c>
      <c r="M22" s="38" t="n">
        <f aca="false">IF(Assumptions!$E$33=1,0,IF(M21&gt;=0,M21*Assumptions!$E$43,M21*Assumptions!$E$44*Assumptions!$E$45))</f>
        <v>5788.45307943338</v>
      </c>
      <c r="N22" s="38" t="n">
        <f aca="false">IF(Assumptions!$E$33=1,0,IF(N21&gt;=0,N21*Assumptions!$E$43,N21*Assumptions!$E$44*Assumptions!$E$45))</f>
        <v>6529.08972470231</v>
      </c>
      <c r="O22" s="38" t="n">
        <f aca="false">SUM(C22:N22)</f>
        <v>33756.6587655315</v>
      </c>
    </row>
    <row r="23" customFormat="false" ht="15" hidden="false" customHeight="false" outlineLevel="0" collapsed="false">
      <c r="A23" s="10" t="s">
        <v>134</v>
      </c>
      <c r="C23" s="39" t="n">
        <f aca="false">C15+C16+C17+C18+C22</f>
        <v>15557.31125</v>
      </c>
      <c r="D23" s="39" t="n">
        <f aca="false">D15+D16+D17+D18+D22</f>
        <v>16354.0374414773</v>
      </c>
      <c r="E23" s="39" t="n">
        <f aca="false">E15+E16+E17+E18+E22</f>
        <v>17171.1650236676</v>
      </c>
      <c r="F23" s="39" t="n">
        <f aca="false">F15+F16+F17+F18+F22</f>
        <v>18009.1267748993</v>
      </c>
      <c r="G23" s="39" t="n">
        <f aca="false">G15+G16+G17+G18+G22</f>
        <v>18868.3638665377</v>
      </c>
      <c r="H23" s="39" t="n">
        <f aca="false">H15+H16+H17+H18+H22</f>
        <v>19749.3260174008</v>
      </c>
      <c r="I23" s="39" t="n">
        <f aca="false">I15+I16+I17+I18+I22</f>
        <v>20652.4716509199</v>
      </c>
      <c r="J23" s="39" t="n">
        <f aca="false">J15+J16+J17+J18+J22</f>
        <v>21578.2680550906</v>
      </c>
      <c r="K23" s="39" t="n">
        <f aca="false">K15+K16+K17+K18+K22</f>
        <v>22527.191545265</v>
      </c>
      <c r="L23" s="39" t="n">
        <f aca="false">L15+L16+L17+L18+L22</f>
        <v>23499.7276298322</v>
      </c>
      <c r="M23" s="39" t="n">
        <f aca="false">M15+M16+M17+M18+M22</f>
        <v>24496.3711788388</v>
      </c>
      <c r="N23" s="39" t="n">
        <f aca="false">N15+N16+N17+N18+N22</f>
        <v>25517.6265955988</v>
      </c>
      <c r="O23" s="39" t="n">
        <f aca="false">SUM(C23:N23)</f>
        <v>243980.987029528</v>
      </c>
    </row>
    <row r="25" customFormat="false" ht="15" hidden="false" customHeight="false" outlineLevel="0" collapsed="false">
      <c r="A25" s="16" t="s">
        <v>135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customFormat="false" ht="15" hidden="false" customHeight="false" outlineLevel="0" collapsed="false">
      <c r="A26" s="5" t="s">
        <v>136</v>
      </c>
      <c r="C26" s="38" t="n">
        <f aca="false">Assumptions!$E$33*C20</f>
        <v>0</v>
      </c>
      <c r="D26" s="38" t="n">
        <f aca="false">Assumptions!$E$33*D20</f>
        <v>0</v>
      </c>
      <c r="E26" s="38" t="n">
        <f aca="false">Assumptions!$E$33*E20</f>
        <v>0</v>
      </c>
      <c r="F26" s="38" t="n">
        <f aca="false">Assumptions!$E$33*F20</f>
        <v>0</v>
      </c>
      <c r="G26" s="38" t="n">
        <f aca="false">Assumptions!$E$33*G20</f>
        <v>0</v>
      </c>
      <c r="H26" s="38" t="n">
        <f aca="false">Assumptions!$E$33*H20</f>
        <v>0</v>
      </c>
      <c r="I26" s="38" t="n">
        <f aca="false">Assumptions!$E$33*I20</f>
        <v>0</v>
      </c>
      <c r="J26" s="38" t="n">
        <f aca="false">Assumptions!$E$33*J20</f>
        <v>0</v>
      </c>
      <c r="K26" s="38" t="n">
        <f aca="false">Assumptions!$E$33*K20</f>
        <v>0</v>
      </c>
      <c r="L26" s="38" t="n">
        <f aca="false">Assumptions!$E$33*L20</f>
        <v>0</v>
      </c>
      <c r="M26" s="38" t="n">
        <f aca="false">Assumptions!$E$33*M20</f>
        <v>0</v>
      </c>
      <c r="N26" s="38" t="n">
        <f aca="false">Assumptions!$E$33*N20</f>
        <v>0</v>
      </c>
      <c r="O26" s="38" t="n">
        <f aca="false">SUM(C26:N26)</f>
        <v>0</v>
      </c>
    </row>
    <row r="27" customFormat="false" ht="15" hidden="false" customHeight="false" outlineLevel="0" collapsed="false">
      <c r="A27" s="5" t="s">
        <v>137</v>
      </c>
      <c r="C27" s="38" t="n">
        <f aca="false">Assumptions!$E$33*C6*Assumptions!$E$47</f>
        <v>0</v>
      </c>
      <c r="D27" s="38" t="n">
        <f aca="false">Assumptions!$E$33*D6*Assumptions!$E$47</f>
        <v>0</v>
      </c>
      <c r="E27" s="38" t="n">
        <f aca="false">Assumptions!$E$33*E6*Assumptions!$E$47</f>
        <v>0</v>
      </c>
      <c r="F27" s="38" t="n">
        <f aca="false">Assumptions!$E$33*F6*Assumptions!$E$47</f>
        <v>0</v>
      </c>
      <c r="G27" s="38" t="n">
        <f aca="false">Assumptions!$E$33*G6*Assumptions!$E$47</f>
        <v>0</v>
      </c>
      <c r="H27" s="38" t="n">
        <f aca="false">Assumptions!$E$33*H6*Assumptions!$E$47</f>
        <v>0</v>
      </c>
      <c r="I27" s="38" t="n">
        <f aca="false">Assumptions!$E$33*I6*Assumptions!$E$47</f>
        <v>0</v>
      </c>
      <c r="J27" s="38" t="n">
        <f aca="false">Assumptions!$E$33*J6*Assumptions!$E$47</f>
        <v>0</v>
      </c>
      <c r="K27" s="38" t="n">
        <f aca="false">Assumptions!$E$33*K6*Assumptions!$E$47</f>
        <v>0</v>
      </c>
      <c r="L27" s="38" t="n">
        <f aca="false">Assumptions!$E$33*L6*Assumptions!$E$47</f>
        <v>0</v>
      </c>
      <c r="M27" s="38" t="n">
        <f aca="false">Assumptions!$E$33*M6*Assumptions!$E$47</f>
        <v>0</v>
      </c>
      <c r="N27" s="38" t="n">
        <f aca="false">Assumptions!$E$33*N6*Assumptions!$E$47</f>
        <v>0</v>
      </c>
      <c r="O27" s="38" t="n">
        <f aca="false">SUM(C27:N27)</f>
        <v>0</v>
      </c>
    </row>
    <row r="28" customFormat="false" ht="15" hidden="false" customHeight="false" outlineLevel="0" collapsed="false">
      <c r="A28" s="5" t="s">
        <v>138</v>
      </c>
      <c r="C28" s="38" t="n">
        <f aca="false">-Assumptions!$E$33*C6*Assumptions!$E$48</f>
        <v>-0</v>
      </c>
      <c r="D28" s="38" t="n">
        <f aca="false">-Assumptions!$E$33*D6*Assumptions!$E$48</f>
        <v>-0</v>
      </c>
      <c r="E28" s="38" t="n">
        <f aca="false">-Assumptions!$E$33*E6*Assumptions!$E$48</f>
        <v>-0</v>
      </c>
      <c r="F28" s="38" t="n">
        <f aca="false">-Assumptions!$E$33*F6*Assumptions!$E$48</f>
        <v>-0</v>
      </c>
      <c r="G28" s="38" t="n">
        <f aca="false">-Assumptions!$E$33*G6*Assumptions!$E$48</f>
        <v>-0</v>
      </c>
      <c r="H28" s="38" t="n">
        <f aca="false">-Assumptions!$E$33*H6*Assumptions!$E$48</f>
        <v>-0</v>
      </c>
      <c r="I28" s="38" t="n">
        <f aca="false">-Assumptions!$E$33*I6*Assumptions!$E$48</f>
        <v>-0</v>
      </c>
      <c r="J28" s="38" t="n">
        <f aca="false">-Assumptions!$E$33*J6*Assumptions!$E$48</f>
        <v>-0</v>
      </c>
      <c r="K28" s="38" t="n">
        <f aca="false">-Assumptions!$E$33*K6*Assumptions!$E$48</f>
        <v>-0</v>
      </c>
      <c r="L28" s="38" t="n">
        <f aca="false">-Assumptions!$E$33*L6*Assumptions!$E$48</f>
        <v>-0</v>
      </c>
      <c r="M28" s="38" t="n">
        <f aca="false">-Assumptions!$E$33*M6*Assumptions!$E$48</f>
        <v>-0</v>
      </c>
      <c r="N28" s="38" t="n">
        <f aca="false">-Assumptions!$E$33*N6*Assumptions!$E$48</f>
        <v>-0</v>
      </c>
      <c r="O28" s="38" t="n">
        <f aca="false">SUM(C28:N28)</f>
        <v>0</v>
      </c>
    </row>
    <row r="29" customFormat="false" ht="15" hidden="false" customHeight="false" outlineLevel="0" collapsed="false">
      <c r="A29" s="10" t="s">
        <v>139</v>
      </c>
      <c r="C29" s="39" t="n">
        <f aca="false">C26+C27+C28</f>
        <v>0</v>
      </c>
      <c r="D29" s="39" t="n">
        <f aca="false">D26+D27+D28</f>
        <v>0</v>
      </c>
      <c r="E29" s="39" t="n">
        <f aca="false">E26+E27+E28</f>
        <v>0</v>
      </c>
      <c r="F29" s="39" t="n">
        <f aca="false">F26+F27+F28</f>
        <v>0</v>
      </c>
      <c r="G29" s="39" t="n">
        <f aca="false">G26+G27+G28</f>
        <v>0</v>
      </c>
      <c r="H29" s="39" t="n">
        <f aca="false">H26+H27+H28</f>
        <v>0</v>
      </c>
      <c r="I29" s="39" t="n">
        <f aca="false">I26+I27+I28</f>
        <v>0</v>
      </c>
      <c r="J29" s="39" t="n">
        <f aca="false">J26+J27+J28</f>
        <v>0</v>
      </c>
      <c r="K29" s="39" t="n">
        <f aca="false">K26+K27+K28</f>
        <v>0</v>
      </c>
      <c r="L29" s="39" t="n">
        <f aca="false">L26+L27+L28</f>
        <v>0</v>
      </c>
      <c r="M29" s="39" t="n">
        <f aca="false">M26+M27+M28</f>
        <v>0</v>
      </c>
      <c r="N29" s="39" t="n">
        <f aca="false">N26+N27+N28</f>
        <v>0</v>
      </c>
      <c r="O29" s="39" t="n">
        <f aca="false">SUM(C29:N29)</f>
        <v>0</v>
      </c>
    </row>
    <row r="31" customFormat="false" ht="15" hidden="false" customHeight="false" outlineLevel="0" collapsed="false">
      <c r="A31" s="16" t="s">
        <v>140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customFormat="false" ht="15" hidden="false" customHeight="false" outlineLevel="0" collapsed="false">
      <c r="A32" s="10" t="s">
        <v>141</v>
      </c>
      <c r="C32" s="39" t="n">
        <f aca="false">C23-C29</f>
        <v>15557.31125</v>
      </c>
      <c r="D32" s="39" t="n">
        <f aca="false">D23-D29</f>
        <v>16354.0374414773</v>
      </c>
      <c r="E32" s="39" t="n">
        <f aca="false">E23-E29</f>
        <v>17171.1650236676</v>
      </c>
      <c r="F32" s="39" t="n">
        <f aca="false">F23-F29</f>
        <v>18009.1267748993</v>
      </c>
      <c r="G32" s="39" t="n">
        <f aca="false">G23-G29</f>
        <v>18868.3638665377</v>
      </c>
      <c r="H32" s="39" t="n">
        <f aca="false">H23-H29</f>
        <v>19749.3260174008</v>
      </c>
      <c r="I32" s="39" t="n">
        <f aca="false">I23-I29</f>
        <v>20652.4716509199</v>
      </c>
      <c r="J32" s="39" t="n">
        <f aca="false">J23-J29</f>
        <v>21578.2680550906</v>
      </c>
      <c r="K32" s="39" t="n">
        <f aca="false">K23-K29</f>
        <v>22527.191545265</v>
      </c>
      <c r="L32" s="39" t="n">
        <f aca="false">L23-L29</f>
        <v>23499.7276298322</v>
      </c>
      <c r="M32" s="39" t="n">
        <f aca="false">M23-M29</f>
        <v>24496.3711788388</v>
      </c>
      <c r="N32" s="39" t="n">
        <f aca="false">N23-N29</f>
        <v>25517.6265955988</v>
      </c>
      <c r="O32" s="39" t="n">
        <f aca="false">SUM(C32:N32)</f>
        <v>243980.987029528</v>
      </c>
    </row>
    <row r="33" customFormat="false" ht="15" hidden="false" customHeight="false" outlineLevel="0" collapsed="false">
      <c r="A33" s="5" t="s">
        <v>142</v>
      </c>
      <c r="C33" s="42" t="n">
        <f aca="false">IF(C6=0,0,C20/(C6*C10*C9))</f>
        <v>0.985139176443524</v>
      </c>
      <c r="D33" s="42" t="n">
        <f aca="false">IF(D6=0,0,D20/(D6*D10*D9))</f>
        <v>0.980069849635067</v>
      </c>
      <c r="E33" s="42" t="n">
        <f aca="false">IF(E6=0,0,E20/(E6*E10*E9))</f>
        <v>0.97500052282661</v>
      </c>
      <c r="F33" s="42" t="n">
        <f aca="false">IF(F6=0,0,F20/(F6*F10*F9))</f>
        <v>0.969931196018153</v>
      </c>
      <c r="G33" s="42" t="n">
        <f aca="false">IF(G6=0,0,G20/(G6*G10*G9))</f>
        <v>0.964861869209695</v>
      </c>
      <c r="H33" s="42" t="n">
        <f aca="false">IF(H6=0,0,H20/(H6*H10*H9))</f>
        <v>0.959792542401238</v>
      </c>
      <c r="I33" s="42" t="n">
        <f aca="false">IF(I6=0,0,I20/(I6*I10*I9))</f>
        <v>0.954723215592781</v>
      </c>
      <c r="J33" s="42" t="n">
        <f aca="false">IF(J6=0,0,J20/(J6*J10*J9))</f>
        <v>0.949653888784323</v>
      </c>
      <c r="K33" s="42" t="n">
        <f aca="false">IF(K6=0,0,K20/(K6*K10*K9))</f>
        <v>0.944584561975866</v>
      </c>
      <c r="L33" s="42" t="n">
        <f aca="false">IF(L6=0,0,L20/(L6*L10*L9))</f>
        <v>0.939515235167409</v>
      </c>
      <c r="M33" s="42" t="n">
        <f aca="false">IF(M6=0,0,M20/(M6*M10*M9))</f>
        <v>0.934445908358952</v>
      </c>
      <c r="N33" s="42" t="n">
        <f aca="false">IF(N6=0,0,N20/(N6*N10*N9))</f>
        <v>0.929376581550495</v>
      </c>
      <c r="O33" s="42" t="n">
        <f aca="false">O20/SUMPRODUCT(C6:N6,C10:N10,C9:N9)</f>
        <v>0.956358947144825</v>
      </c>
    </row>
    <row r="34" customFormat="false" ht="15" hidden="false" customHeight="false" outlineLevel="0" collapsed="false">
      <c r="A34" s="5" t="s">
        <v>143</v>
      </c>
      <c r="C34" s="38" t="n">
        <f aca="false">IF(C6=0,0,C32/C6)</f>
        <v>77.2074999999999</v>
      </c>
      <c r="D34" s="38" t="n">
        <f aca="false">IF(D6=0,0,D32/D6)</f>
        <v>79.9620454545455</v>
      </c>
      <c r="E34" s="38" t="n">
        <f aca="false">IF(E6=0,0,E32/E6)</f>
        <v>82.716590909091</v>
      </c>
      <c r="F34" s="38" t="n">
        <f aca="false">IF(F6=0,0,F32/F6)</f>
        <v>85.4711363636363</v>
      </c>
      <c r="G34" s="38" t="n">
        <f aca="false">IF(G6=0,0,G32/G6)</f>
        <v>88.2256818181818</v>
      </c>
      <c r="H34" s="38" t="n">
        <f aca="false">IF(H6=0,0,H32/H6)</f>
        <v>90.9802272727273</v>
      </c>
      <c r="I34" s="38" t="n">
        <f aca="false">IF(I6=0,0,I32/I6)</f>
        <v>93.7347727272728</v>
      </c>
      <c r="J34" s="38" t="n">
        <f aca="false">IF(J6=0,0,J32/J6)</f>
        <v>96.4893181818183</v>
      </c>
      <c r="K34" s="38" t="n">
        <f aca="false">IF(K6=0,0,K32/K6)</f>
        <v>99.2438636363636</v>
      </c>
      <c r="L34" s="38" t="n">
        <f aca="false">IF(L6=0,0,L32/L6)</f>
        <v>101.998409090909</v>
      </c>
      <c r="M34" s="38" t="n">
        <f aca="false">IF(M6=0,0,M32/M6)</f>
        <v>104.752954545455</v>
      </c>
      <c r="N34" s="38" t="n">
        <f aca="false">IF(N6=0,0,N32/N6)</f>
        <v>107.5075</v>
      </c>
      <c r="O34" s="38" t="n">
        <f aca="false">O32/O6</f>
        <v>92.8459570951809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"/>
    <col collapsed="false" customWidth="true" hidden="false" outlineLevel="0" max="14" min="3" style="0" width="10"/>
    <col collapsed="false" customWidth="true" hidden="false" outlineLevel="0" max="15" min="15" style="0" width="13"/>
  </cols>
  <sheetData>
    <row r="1" customFormat="false" ht="16.15" hidden="false" customHeight="false" outlineLevel="0" collapsed="false">
      <c r="A1" s="31" t="s">
        <v>147</v>
      </c>
    </row>
    <row r="2" customFormat="false" ht="15" hidden="false" customHeight="false" outlineLevel="0" collapsed="false">
      <c r="C2" s="32" t="s">
        <v>104</v>
      </c>
      <c r="D2" s="32" t="s">
        <v>105</v>
      </c>
      <c r="E2" s="32" t="s">
        <v>106</v>
      </c>
      <c r="F2" s="32" t="s">
        <v>107</v>
      </c>
      <c r="G2" s="32" t="s">
        <v>108</v>
      </c>
      <c r="H2" s="32" t="s">
        <v>109</v>
      </c>
      <c r="I2" s="32" t="s">
        <v>110</v>
      </c>
      <c r="J2" s="32" t="s">
        <v>111</v>
      </c>
      <c r="K2" s="32" t="s">
        <v>112</v>
      </c>
      <c r="L2" s="32" t="s">
        <v>113</v>
      </c>
      <c r="M2" s="32" t="s">
        <v>114</v>
      </c>
      <c r="N2" s="32" t="s">
        <v>115</v>
      </c>
      <c r="O2" s="33" t="s">
        <v>98</v>
      </c>
    </row>
    <row r="3" customFormat="false" ht="15" hidden="false" customHeight="false" outlineLevel="0" collapsed="false">
      <c r="A3" s="16" t="s">
        <v>116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customFormat="false" ht="15" hidden="false" customHeight="false" outlineLevel="0" collapsed="false">
      <c r="A4" s="10" t="s">
        <v>119</v>
      </c>
      <c r="C4" s="36" t="n">
        <f aca="false">'A. Full Cap'!C6+'B. Two-Sided'!C6+'C. Upside'!C6+'D. REACH'!C6</f>
        <v>4523</v>
      </c>
      <c r="D4" s="36" t="n">
        <f aca="false">'A. Full Cap'!D6+'B. Two-Sided'!D6+'C. Upside'!D6+'D. REACH'!D6</f>
        <v>4569.2375</v>
      </c>
      <c r="E4" s="36" t="n">
        <f aca="false">'A. Full Cap'!E6+'B. Two-Sided'!E6+'C. Upside'!E6+'D. REACH'!E6</f>
        <v>4615.9524875</v>
      </c>
      <c r="F4" s="36" t="n">
        <f aca="false">'A. Full Cap'!F6+'B. Two-Sided'!F6+'C. Upside'!F6+'D. REACH'!F6</f>
        <v>4663.1499640625</v>
      </c>
      <c r="G4" s="36" t="n">
        <f aca="false">'A. Full Cap'!G6+'B. Two-Sided'!G6+'C. Upside'!G6+'D. REACH'!G6</f>
        <v>4710.83498466594</v>
      </c>
      <c r="H4" s="36" t="n">
        <f aca="false">'A. Full Cap'!H6+'B. Two-Sided'!H6+'C. Upside'!H6+'D. REACH'!H6</f>
        <v>4759.01265828985</v>
      </c>
      <c r="I4" s="36" t="n">
        <f aca="false">'A. Full Cap'!I6+'B. Two-Sided'!I6+'C. Upside'!I6+'D. REACH'!I6</f>
        <v>4807.68814850666</v>
      </c>
      <c r="J4" s="36" t="n">
        <f aca="false">'A. Full Cap'!J6+'B. Two-Sided'!J6+'C. Upside'!J6+'D. REACH'!J6</f>
        <v>4856.86667408015</v>
      </c>
      <c r="K4" s="36" t="n">
        <f aca="false">'A. Full Cap'!K6+'B. Two-Sided'!K6+'C. Upside'!K6+'D. REACH'!K6</f>
        <v>4906.5535095707</v>
      </c>
      <c r="L4" s="36" t="n">
        <f aca="false">'A. Full Cap'!L6+'B. Two-Sided'!L6+'C. Upside'!L6+'D. REACH'!L6</f>
        <v>4956.75398594741</v>
      </c>
      <c r="M4" s="36" t="n">
        <f aca="false">'A. Full Cap'!M6+'B. Two-Sided'!M6+'C. Upside'!M6+'D. REACH'!M6</f>
        <v>5007.47349120709</v>
      </c>
      <c r="N4" s="36" t="n">
        <f aca="false">'A. Full Cap'!N6+'B. Two-Sided'!N6+'C. Upside'!N6+'D. REACH'!N6</f>
        <v>5058.71747100037</v>
      </c>
      <c r="O4" s="36" t="n">
        <f aca="false">SUM(C4:N4)</f>
        <v>57435.2408748307</v>
      </c>
    </row>
    <row r="6" customFormat="false" ht="15" hidden="false" customHeight="false" outlineLevel="0" collapsed="false">
      <c r="A6" s="16" t="s">
        <v>125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customFormat="false" ht="15" hidden="false" customHeight="false" outlineLevel="0" collapsed="false">
      <c r="A7" s="5" t="s">
        <v>126</v>
      </c>
      <c r="C7" s="38" t="n">
        <f aca="false">'A. Full Cap'!C15+'B. Two-Sided'!C15+'C. Upside'!C15+'D. REACH'!C15</f>
        <v>4759261.92</v>
      </c>
      <c r="D7" s="38" t="n">
        <f aca="false">'A. Full Cap'!D15+'B. Two-Sided'!D15+'C. Upside'!D15+'D. REACH'!D15</f>
        <v>4806854.5392</v>
      </c>
      <c r="E7" s="38" t="n">
        <f aca="false">'A. Full Cap'!E15+'B. Two-Sided'!E15+'C. Upside'!E15+'D. REACH'!E15</f>
        <v>4854923.084592</v>
      </c>
      <c r="F7" s="38" t="n">
        <f aca="false">'A. Full Cap'!F15+'B. Two-Sided'!F15+'C. Upside'!F15+'D. REACH'!F15</f>
        <v>4903472.31543792</v>
      </c>
      <c r="G7" s="38" t="n">
        <f aca="false">'A. Full Cap'!G15+'B. Two-Sided'!G15+'C. Upside'!G15+'D. REACH'!G15</f>
        <v>4952507.0385923</v>
      </c>
      <c r="H7" s="38" t="n">
        <f aca="false">'A. Full Cap'!H15+'B. Two-Sided'!H15+'C. Upside'!H15+'D. REACH'!H15</f>
        <v>5002032.10897822</v>
      </c>
      <c r="I7" s="38" t="n">
        <f aca="false">'A. Full Cap'!I15+'B. Two-Sided'!I15+'C. Upside'!I15+'D. REACH'!I15</f>
        <v>5052052.43006801</v>
      </c>
      <c r="J7" s="38" t="n">
        <f aca="false">'A. Full Cap'!J15+'B. Two-Sided'!J15+'C. Upside'!J15+'D. REACH'!J15</f>
        <v>5102572.95436869</v>
      </c>
      <c r="K7" s="38" t="n">
        <f aca="false">'A. Full Cap'!K15+'B. Two-Sided'!K15+'C. Upside'!K15+'D. REACH'!K15</f>
        <v>5153598.68391237</v>
      </c>
      <c r="L7" s="38" t="n">
        <f aca="false">'A. Full Cap'!L15+'B. Two-Sided'!L15+'C. Upside'!L15+'D. REACH'!L15</f>
        <v>5205134.6707515</v>
      </c>
      <c r="M7" s="38" t="n">
        <f aca="false">'A. Full Cap'!M15+'B. Two-Sided'!M15+'C. Upside'!M15+'D. REACH'!M15</f>
        <v>5257186.01745901</v>
      </c>
      <c r="N7" s="38" t="n">
        <f aca="false">'A. Full Cap'!N15+'B. Two-Sided'!N15+'C. Upside'!N15+'D. REACH'!N15</f>
        <v>5309757.8776336</v>
      </c>
      <c r="O7" s="38" t="n">
        <f aca="false">SUM(C7:N7)</f>
        <v>60359353.6409936</v>
      </c>
    </row>
    <row r="8" customFormat="false" ht="15" hidden="false" customHeight="false" outlineLevel="0" collapsed="false">
      <c r="A8" s="5" t="s">
        <v>127</v>
      </c>
      <c r="C8" s="38" t="n">
        <f aca="false">'A. Full Cap'!C16+'B. Two-Sided'!C16+'C. Upside'!C16+'D. REACH'!C16</f>
        <v>24873.75</v>
      </c>
      <c r="D8" s="38" t="n">
        <f aca="false">'A. Full Cap'!D16+'B. Two-Sided'!D16+'C. Upside'!D16+'D. REACH'!D16</f>
        <v>25122.4875</v>
      </c>
      <c r="E8" s="38" t="n">
        <f aca="false">'A. Full Cap'!E16+'B. Two-Sided'!E16+'C. Upside'!E16+'D. REACH'!E16</f>
        <v>25373.712375</v>
      </c>
      <c r="F8" s="38" t="n">
        <f aca="false">'A. Full Cap'!F16+'B. Two-Sided'!F16+'C. Upside'!F16+'D. REACH'!F16</f>
        <v>25627.44949875</v>
      </c>
      <c r="G8" s="38" t="n">
        <f aca="false">'A. Full Cap'!G16+'B. Two-Sided'!G16+'C. Upside'!G16+'D. REACH'!G16</f>
        <v>25883.7239937375</v>
      </c>
      <c r="H8" s="38" t="n">
        <f aca="false">'A. Full Cap'!H16+'B. Two-Sided'!H16+'C. Upside'!H16+'D. REACH'!H16</f>
        <v>26142.5612336749</v>
      </c>
      <c r="I8" s="38" t="n">
        <f aca="false">'A. Full Cap'!I16+'B. Two-Sided'!I16+'C. Upside'!I16+'D. REACH'!I16</f>
        <v>26403.9868460116</v>
      </c>
      <c r="J8" s="38" t="n">
        <f aca="false">'A. Full Cap'!J16+'B. Two-Sided'!J16+'C. Upside'!J16+'D. REACH'!J16</f>
        <v>26668.0267144717</v>
      </c>
      <c r="K8" s="38" t="n">
        <f aca="false">'A. Full Cap'!K16+'B. Two-Sided'!K16+'C. Upside'!K16+'D. REACH'!K16</f>
        <v>26934.7069816165</v>
      </c>
      <c r="L8" s="38" t="n">
        <f aca="false">'A. Full Cap'!L16+'B. Two-Sided'!L16+'C. Upside'!L16+'D. REACH'!L16</f>
        <v>27204.0540514326</v>
      </c>
      <c r="M8" s="38" t="n">
        <f aca="false">'A. Full Cap'!M16+'B. Two-Sided'!M16+'C. Upside'!M16+'D. REACH'!M16</f>
        <v>27476.094591947</v>
      </c>
      <c r="N8" s="38" t="n">
        <f aca="false">'A. Full Cap'!N16+'B. Two-Sided'!N16+'C. Upside'!N16+'D. REACH'!N16</f>
        <v>27750.8555378664</v>
      </c>
      <c r="O8" s="38" t="n">
        <f aca="false">SUM(C8:N8)</f>
        <v>315461.409324508</v>
      </c>
    </row>
    <row r="9" customFormat="false" ht="15" hidden="false" customHeight="false" outlineLevel="0" collapsed="false">
      <c r="A9" s="5" t="s">
        <v>128</v>
      </c>
      <c r="C9" s="38" t="n">
        <f aca="false">'A. Full Cap'!C17+'B. Two-Sided'!C17+'C. Upside'!C17+'D. REACH'!C17</f>
        <v>16120</v>
      </c>
      <c r="D9" s="38" t="n">
        <f aca="false">'A. Full Cap'!D17+'B. Two-Sided'!D17+'C. Upside'!D17+'D. REACH'!D17</f>
        <v>16361.8</v>
      </c>
      <c r="E9" s="38" t="n">
        <f aca="false">'A. Full Cap'!E17+'B. Two-Sided'!E17+'C. Upside'!E17+'D. REACH'!E17</f>
        <v>16607.227</v>
      </c>
      <c r="F9" s="38" t="n">
        <f aca="false">'A. Full Cap'!F17+'B. Two-Sided'!F17+'C. Upside'!F17+'D. REACH'!F17</f>
        <v>16856.335405</v>
      </c>
      <c r="G9" s="38" t="n">
        <f aca="false">'A. Full Cap'!G17+'B. Two-Sided'!G17+'C. Upside'!G17+'D. REACH'!G17</f>
        <v>17109.180436075</v>
      </c>
      <c r="H9" s="38" t="n">
        <f aca="false">'A. Full Cap'!H17+'B. Two-Sided'!H17+'C. Upside'!H17+'D. REACH'!H17</f>
        <v>17365.8181426161</v>
      </c>
      <c r="I9" s="38" t="n">
        <f aca="false">'A. Full Cap'!I17+'B. Two-Sided'!I17+'C. Upside'!I17+'D. REACH'!I17</f>
        <v>17626.3054147554</v>
      </c>
      <c r="J9" s="38" t="n">
        <f aca="false">'A. Full Cap'!J17+'B. Two-Sided'!J17+'C. Upside'!J17+'D. REACH'!J17</f>
        <v>17890.6999959767</v>
      </c>
      <c r="K9" s="38" t="n">
        <f aca="false">'A. Full Cap'!K17+'B. Two-Sided'!K17+'C. Upside'!K17+'D. REACH'!K17</f>
        <v>18159.0604959163</v>
      </c>
      <c r="L9" s="38" t="n">
        <f aca="false">'A. Full Cap'!L17+'B. Two-Sided'!L17+'C. Upside'!L17+'D. REACH'!L17</f>
        <v>18431.4464033551</v>
      </c>
      <c r="M9" s="38" t="n">
        <f aca="false">'A. Full Cap'!M17+'B. Two-Sided'!M17+'C. Upside'!M17+'D. REACH'!M17</f>
        <v>18707.9180994054</v>
      </c>
      <c r="N9" s="38" t="n">
        <f aca="false">'A. Full Cap'!N17+'B. Two-Sided'!N17+'C. Upside'!N17+'D. REACH'!N17</f>
        <v>18988.5368708965</v>
      </c>
      <c r="O9" s="38" t="n">
        <f aca="false">SUM(C9:N9)</f>
        <v>210224.328263996</v>
      </c>
    </row>
    <row r="10" customFormat="false" ht="15" hidden="false" customHeight="false" outlineLevel="0" collapsed="false">
      <c r="A10" s="5" t="s">
        <v>129</v>
      </c>
      <c r="C10" s="38" t="n">
        <f aca="false">'A. Full Cap'!C18+'B. Two-Sided'!C18+'C. Upside'!C18+'D. REACH'!C18</f>
        <v>12562.5</v>
      </c>
      <c r="D10" s="38" t="n">
        <f aca="false">'A. Full Cap'!D18+'B. Two-Sided'!D18+'C. Upside'!D18+'D. REACH'!D18</f>
        <v>12688.125</v>
      </c>
      <c r="E10" s="38" t="n">
        <f aca="false">'A. Full Cap'!E18+'B. Two-Sided'!E18+'C. Upside'!E18+'D. REACH'!E18</f>
        <v>12815.00625</v>
      </c>
      <c r="F10" s="38" t="n">
        <f aca="false">'A. Full Cap'!F18+'B. Two-Sided'!F18+'C. Upside'!F18+'D. REACH'!F18</f>
        <v>12943.1563125</v>
      </c>
      <c r="G10" s="38" t="n">
        <f aca="false">'A. Full Cap'!G18+'B. Two-Sided'!G18+'C. Upside'!G18+'D. REACH'!G18</f>
        <v>13072.587875625</v>
      </c>
      <c r="H10" s="38" t="n">
        <f aca="false">'A. Full Cap'!H18+'B. Two-Sided'!H18+'C. Upside'!H18+'D. REACH'!H18</f>
        <v>13203.3137543812</v>
      </c>
      <c r="I10" s="38" t="n">
        <f aca="false">'A. Full Cap'!I18+'B. Two-Sided'!I18+'C. Upside'!I18+'D. REACH'!I18</f>
        <v>13335.3468919251</v>
      </c>
      <c r="J10" s="38" t="n">
        <f aca="false">'A. Full Cap'!J18+'B. Two-Sided'!J18+'C. Upside'!J18+'D. REACH'!J18</f>
        <v>13468.7003608443</v>
      </c>
      <c r="K10" s="38" t="n">
        <f aca="false">'A. Full Cap'!K18+'B. Two-Sided'!K18+'C. Upside'!K18+'D. REACH'!K18</f>
        <v>13603.3873644528</v>
      </c>
      <c r="L10" s="38" t="n">
        <f aca="false">'A. Full Cap'!L18+'B. Two-Sided'!L18+'C. Upside'!L18+'D. REACH'!L18</f>
        <v>13739.4212380973</v>
      </c>
      <c r="M10" s="38" t="n">
        <f aca="false">'A. Full Cap'!M18+'B. Two-Sided'!M18+'C. Upside'!M18+'D. REACH'!M18</f>
        <v>13876.8154504783</v>
      </c>
      <c r="N10" s="38" t="n">
        <f aca="false">'A. Full Cap'!N18+'B. Two-Sided'!N18+'C. Upside'!N18+'D. REACH'!N18</f>
        <v>14015.583604983</v>
      </c>
      <c r="O10" s="38" t="n">
        <f aca="false">SUM(C10:N10)</f>
        <v>159323.944103287</v>
      </c>
    </row>
    <row r="11" customFormat="false" ht="15" hidden="false" customHeight="false" outlineLevel="0" collapsed="false">
      <c r="A11" s="5" t="s">
        <v>148</v>
      </c>
      <c r="C11" s="38" t="n">
        <f aca="false">'A. Full Cap'!C22+'B. Two-Sided'!C22+'C. Upside'!C22+'D. REACH'!C22</f>
        <v>-15156.7962500001</v>
      </c>
      <c r="D11" s="38" t="n">
        <f aca="false">'A. Full Cap'!D22+'B. Two-Sided'!D22+'C. Upside'!D22+'D. REACH'!D22</f>
        <v>-13352.5787698864</v>
      </c>
      <c r="E11" s="38" t="n">
        <f aca="false">'A. Full Cap'!E22+'B. Two-Sided'!E22+'C. Upside'!E22+'D. REACH'!E22</f>
        <v>-11505.1416625369</v>
      </c>
      <c r="F11" s="38" t="n">
        <f aca="false">'A. Full Cap'!F22+'B. Two-Sided'!F22+'C. Upside'!F22+'D. REACH'!F22</f>
        <v>-9613.70257902177</v>
      </c>
      <c r="G11" s="38" t="n">
        <f aca="false">'A. Full Cap'!G22+'B. Two-Sided'!G22+'C. Upside'!G22+'D. REACH'!G22</f>
        <v>-7677.46615846083</v>
      </c>
      <c r="H11" s="38" t="n">
        <f aca="false">'A. Full Cap'!H22+'B. Two-Sided'!H22+'C. Upside'!H22+'D. REACH'!H22</f>
        <v>-5695.62381754612</v>
      </c>
      <c r="I11" s="38" t="n">
        <f aca="false">'A. Full Cap'!I22+'B. Two-Sided'!I22+'C. Upside'!I22+'D. REACH'!I22</f>
        <v>-3667.35353668306</v>
      </c>
      <c r="J11" s="38" t="n">
        <f aca="false">'A. Full Cap'!J22+'B. Two-Sided'!J22+'C. Upside'!J22+'D. REACH'!J22</f>
        <v>-1591.81964269139</v>
      </c>
      <c r="K11" s="38" t="n">
        <f aca="false">'A. Full Cap'!K22+'B. Two-Sided'!K22+'C. Upside'!K22+'D. REACH'!K22</f>
        <v>531.827411983526</v>
      </c>
      <c r="L11" s="38" t="n">
        <f aca="false">'A. Full Cap'!L22+'B. Two-Sided'!L22+'C. Upside'!L22+'D. REACH'!L22</f>
        <v>2704.45127361134</v>
      </c>
      <c r="M11" s="38" t="n">
        <f aca="false">'A. Full Cap'!M22+'B. Two-Sided'!M22+'C. Upside'!M22+'D. REACH'!M22</f>
        <v>4926.92991512062</v>
      </c>
      <c r="N11" s="38" t="n">
        <f aca="false">'A. Full Cap'!N22+'B. Two-Sided'!N22+'C. Upside'!N22+'D. REACH'!N22</f>
        <v>7200.15586770886</v>
      </c>
      <c r="O11" s="38" t="n">
        <f aca="false">SUM(C11:N11)</f>
        <v>-52897.1179484022</v>
      </c>
    </row>
    <row r="12" customFormat="false" ht="15" hidden="false" customHeight="false" outlineLevel="0" collapsed="false">
      <c r="A12" s="43" t="s">
        <v>149</v>
      </c>
      <c r="C12" s="44" t="n">
        <f aca="false">SUM(C7:C11)</f>
        <v>4797661.37375</v>
      </c>
      <c r="D12" s="44" t="n">
        <f aca="false">SUM(D7:D11)</f>
        <v>4847674.37293011</v>
      </c>
      <c r="E12" s="44" t="n">
        <f aca="false">SUM(E7:E11)</f>
        <v>4898213.88855446</v>
      </c>
      <c r="F12" s="44" t="n">
        <f aca="false">SUM(F7:F11)</f>
        <v>4949285.55407515</v>
      </c>
      <c r="G12" s="44" t="n">
        <f aca="false">SUM(G7:G11)</f>
        <v>5000895.06473928</v>
      </c>
      <c r="H12" s="44" t="n">
        <f aca="false">SUM(H7:H11)</f>
        <v>5053048.17829135</v>
      </c>
      <c r="I12" s="44" t="n">
        <f aca="false">SUM(I7:I11)</f>
        <v>5105750.71568402</v>
      </c>
      <c r="J12" s="44" t="n">
        <f aca="false">SUM(J7:J11)</f>
        <v>5159008.56179729</v>
      </c>
      <c r="K12" s="44" t="n">
        <f aca="false">SUM(K7:K11)</f>
        <v>5212827.66616634</v>
      </c>
      <c r="L12" s="44" t="n">
        <f aca="false">SUM(L7:L11)</f>
        <v>5267214.04371799</v>
      </c>
      <c r="M12" s="44" t="n">
        <f aca="false">SUM(M7:M11)</f>
        <v>5322173.77551596</v>
      </c>
      <c r="N12" s="44" t="n">
        <f aca="false">SUM(N7:N11)</f>
        <v>5377713.00951506</v>
      </c>
      <c r="O12" s="44" t="n">
        <f aca="false">SUM(O7:O11)</f>
        <v>60991466.204737</v>
      </c>
    </row>
    <row r="14" customFormat="false" ht="15" hidden="false" customHeight="false" outlineLevel="0" collapsed="false">
      <c r="A14" s="16" t="s">
        <v>150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customFormat="false" ht="15" hidden="false" customHeight="false" outlineLevel="0" collapsed="false">
      <c r="A15" s="5" t="s">
        <v>151</v>
      </c>
      <c r="C15" s="38" t="n">
        <f aca="false">'A. Full Cap'!C26+'B. Two-Sided'!C26+'C. Upside'!C26+'D. REACH'!C26</f>
        <v>4371991.2</v>
      </c>
      <c r="D15" s="38" t="n">
        <f aca="false">'A. Full Cap'!D26+'B. Two-Sided'!D26+'C. Upside'!D26+'D. REACH'!D26</f>
        <v>4392988.75636364</v>
      </c>
      <c r="E15" s="38" t="n">
        <f aca="false">'A. Full Cap'!E26+'B. Two-Sided'!E26+'C. Upside'!E26+'D. REACH'!E26</f>
        <v>4413969.06473455</v>
      </c>
      <c r="F15" s="38" t="n">
        <f aca="false">'A. Full Cap'!F26+'B. Two-Sided'!F26+'C. Upside'!F26+'D. REACH'!F26</f>
        <v>4434929.68039724</v>
      </c>
      <c r="G15" s="38" t="n">
        <f aca="false">'A. Full Cap'!G26+'B. Two-Sided'!G26+'C. Upside'!G26+'D. REACH'!G26</f>
        <v>4455868.11146671</v>
      </c>
      <c r="H15" s="38" t="n">
        <f aca="false">'A. Full Cap'!H26+'B. Two-Sided'!H26+'C. Upside'!H26+'D. REACH'!H26</f>
        <v>4476781.81818953</v>
      </c>
      <c r="I15" s="38" t="n">
        <f aca="false">'A. Full Cap'!I26+'B. Two-Sided'!I26+'C. Upside'!I26+'D. REACH'!I26</f>
        <v>4497668.21223566</v>
      </c>
      <c r="J15" s="38" t="n">
        <f aca="false">'A. Full Cap'!J26+'B. Two-Sided'!J26+'C. Upside'!J26+'D. REACH'!J26</f>
        <v>4518524.65598089</v>
      </c>
      <c r="K15" s="38" t="n">
        <f aca="false">'A. Full Cap'!K26+'B. Two-Sided'!K26+'C. Upside'!K26+'D. REACH'!K26</f>
        <v>4539348.46177981</v>
      </c>
      <c r="L15" s="38" t="n">
        <f aca="false">'A. Full Cap'!L26+'B. Two-Sided'!L26+'C. Upside'!L26+'D. REACH'!L26</f>
        <v>4560136.89122911</v>
      </c>
      <c r="M15" s="38" t="n">
        <f aca="false">'A. Full Cap'!M26+'B. Two-Sided'!M26+'C. Upside'!M26+'D. REACH'!M26</f>
        <v>4580887.15442121</v>
      </c>
      <c r="N15" s="38" t="n">
        <f aca="false">'A. Full Cap'!N26+'B. Two-Sided'!N26+'C. Upside'!N26+'D. REACH'!N26</f>
        <v>4601596.40918803</v>
      </c>
      <c r="O15" s="38" t="n">
        <f aca="false">SUM(C15:N15)</f>
        <v>53844690.4159864</v>
      </c>
    </row>
    <row r="16" customFormat="false" ht="15" hidden="false" customHeight="false" outlineLevel="0" collapsed="false">
      <c r="A16" s="5" t="s">
        <v>137</v>
      </c>
      <c r="C16" s="38" t="n">
        <f aca="false">'A. Full Cap'!C27+'B. Two-Sided'!C27+'C. Upside'!C27+'D. REACH'!C27</f>
        <v>126630</v>
      </c>
      <c r="D16" s="38" t="n">
        <f aca="false">'A. Full Cap'!D27+'B. Two-Sided'!D27+'C. Upside'!D27+'D. REACH'!D27</f>
        <v>127896.3</v>
      </c>
      <c r="E16" s="38" t="n">
        <f aca="false">'A. Full Cap'!E27+'B. Two-Sided'!E27+'C. Upside'!E27+'D. REACH'!E27</f>
        <v>129175.263</v>
      </c>
      <c r="F16" s="38" t="n">
        <f aca="false">'A. Full Cap'!F27+'B. Two-Sided'!F27+'C. Upside'!F27+'D. REACH'!F27</f>
        <v>130467.01563</v>
      </c>
      <c r="G16" s="38" t="n">
        <f aca="false">'A. Full Cap'!G27+'B. Two-Sided'!G27+'C. Upside'!G27+'D. REACH'!G27</f>
        <v>131771.6857863</v>
      </c>
      <c r="H16" s="38" t="n">
        <f aca="false">'A. Full Cap'!H27+'B. Two-Sided'!H27+'C. Upside'!H27+'D. REACH'!H27</f>
        <v>133089.402644163</v>
      </c>
      <c r="I16" s="38" t="n">
        <f aca="false">'A. Full Cap'!I27+'B. Two-Sided'!I27+'C. Upside'!I27+'D. REACH'!I27</f>
        <v>134420.296670605</v>
      </c>
      <c r="J16" s="38" t="n">
        <f aca="false">'A. Full Cap'!J27+'B. Two-Sided'!J27+'C. Upside'!J27+'D. REACH'!J27</f>
        <v>135764.499637311</v>
      </c>
      <c r="K16" s="38" t="n">
        <f aca="false">'A. Full Cap'!K27+'B. Two-Sided'!K27+'C. Upside'!K27+'D. REACH'!K27</f>
        <v>137122.144633684</v>
      </c>
      <c r="L16" s="38" t="n">
        <f aca="false">'A. Full Cap'!L27+'B. Two-Sided'!L27+'C. Upside'!L27+'D. REACH'!L27</f>
        <v>138493.366080021</v>
      </c>
      <c r="M16" s="38" t="n">
        <f aca="false">'A. Full Cap'!M27+'B. Two-Sided'!M27+'C. Upside'!M27+'D. REACH'!M27</f>
        <v>139878.299740821</v>
      </c>
      <c r="N16" s="38" t="n">
        <f aca="false">'A. Full Cap'!N27+'B. Two-Sided'!N27+'C. Upside'!N27+'D. REACH'!N27</f>
        <v>141277.082738229</v>
      </c>
      <c r="O16" s="38" t="n">
        <f aca="false">SUM(C16:N16)</f>
        <v>1605985.35656113</v>
      </c>
    </row>
    <row r="17" customFormat="false" ht="15" hidden="false" customHeight="false" outlineLevel="0" collapsed="false">
      <c r="A17" s="5" t="s">
        <v>138</v>
      </c>
      <c r="C17" s="38" t="n">
        <f aca="false">'A. Full Cap'!C28+'B. Two-Sided'!C28+'C. Upside'!C28+'D. REACH'!C28</f>
        <v>-94068</v>
      </c>
      <c r="D17" s="38" t="n">
        <f aca="false">'A. Full Cap'!D28+'B. Two-Sided'!D28+'C. Upside'!D28+'D. REACH'!D28</f>
        <v>-95008.68</v>
      </c>
      <c r="E17" s="38" t="n">
        <f aca="false">'A. Full Cap'!E28+'B. Two-Sided'!E28+'C. Upside'!E28+'D. REACH'!E28</f>
        <v>-95958.7668</v>
      </c>
      <c r="F17" s="38" t="n">
        <f aca="false">'A. Full Cap'!F28+'B. Two-Sided'!F28+'C. Upside'!F28+'D. REACH'!F28</f>
        <v>-96918.354468</v>
      </c>
      <c r="G17" s="38" t="n">
        <f aca="false">'A. Full Cap'!G28+'B. Two-Sided'!G28+'C. Upside'!G28+'D. REACH'!G28</f>
        <v>-97887.53801268</v>
      </c>
      <c r="H17" s="38" t="n">
        <f aca="false">'A. Full Cap'!H28+'B. Two-Sided'!H28+'C. Upside'!H28+'D. REACH'!H28</f>
        <v>-98866.4133928068</v>
      </c>
      <c r="I17" s="38" t="n">
        <f aca="false">'A. Full Cap'!I28+'B. Two-Sided'!I28+'C. Upside'!I28+'D. REACH'!I28</f>
        <v>-99855.0775267349</v>
      </c>
      <c r="J17" s="38" t="n">
        <f aca="false">'A. Full Cap'!J28+'B. Two-Sided'!J28+'C. Upside'!J28+'D. REACH'!J28</f>
        <v>-100853.628302002</v>
      </c>
      <c r="K17" s="38" t="n">
        <f aca="false">'A. Full Cap'!K28+'B. Two-Sided'!K28+'C. Upside'!K28+'D. REACH'!K28</f>
        <v>-101862.164585022</v>
      </c>
      <c r="L17" s="38" t="n">
        <f aca="false">'A. Full Cap'!L28+'B. Two-Sided'!L28+'C. Upside'!L28+'D. REACH'!L28</f>
        <v>-102880.786230872</v>
      </c>
      <c r="M17" s="38" t="n">
        <f aca="false">'A. Full Cap'!M28+'B. Two-Sided'!M28+'C. Upside'!M28+'D. REACH'!M28</f>
        <v>-103909.594093181</v>
      </c>
      <c r="N17" s="38" t="n">
        <f aca="false">'A. Full Cap'!N28+'B. Two-Sided'!N28+'C. Upside'!N28+'D. REACH'!N28</f>
        <v>-104948.690034113</v>
      </c>
      <c r="O17" s="38" t="n">
        <f aca="false">SUM(C17:N17)</f>
        <v>-1193017.69344541</v>
      </c>
    </row>
    <row r="18" customFormat="false" ht="15" hidden="false" customHeight="false" outlineLevel="0" collapsed="false">
      <c r="A18" s="43" t="s">
        <v>152</v>
      </c>
      <c r="C18" s="44" t="n">
        <f aca="false">SUM(C15:C17)</f>
        <v>4404553.2</v>
      </c>
      <c r="D18" s="44" t="n">
        <f aca="false">SUM(D15:D17)</f>
        <v>4425876.37636364</v>
      </c>
      <c r="E18" s="44" t="n">
        <f aca="false">SUM(E15:E17)</f>
        <v>4447185.56093455</v>
      </c>
      <c r="F18" s="44" t="n">
        <f aca="false">SUM(F15:F17)</f>
        <v>4468478.34155924</v>
      </c>
      <c r="G18" s="44" t="n">
        <f aca="false">SUM(G15:G17)</f>
        <v>4489752.25924033</v>
      </c>
      <c r="H18" s="44" t="n">
        <f aca="false">SUM(H15:H17)</f>
        <v>4511004.80744089</v>
      </c>
      <c r="I18" s="44" t="n">
        <f aca="false">SUM(I15:I17)</f>
        <v>4532233.43137953</v>
      </c>
      <c r="J18" s="44" t="n">
        <f aca="false">SUM(J15:J17)</f>
        <v>4553435.5273162</v>
      </c>
      <c r="K18" s="44" t="n">
        <f aca="false">SUM(K15:K17)</f>
        <v>4574608.44182847</v>
      </c>
      <c r="L18" s="44" t="n">
        <f aca="false">SUM(L15:L17)</f>
        <v>4595749.47107825</v>
      </c>
      <c r="M18" s="44" t="n">
        <f aca="false">SUM(M15:M17)</f>
        <v>4616855.86006885</v>
      </c>
      <c r="N18" s="44" t="n">
        <f aca="false">SUM(N15:N17)</f>
        <v>4637924.80189215</v>
      </c>
      <c r="O18" s="44" t="n">
        <f aca="false">SUM(O15:O17)</f>
        <v>54257658.0791021</v>
      </c>
    </row>
    <row r="20" customFormat="false" ht="15" hidden="false" customHeight="false" outlineLevel="0" collapsed="false">
      <c r="A20" s="45" t="s">
        <v>153</v>
      </c>
      <c r="C20" s="46" t="n">
        <f aca="false">C12-C18</f>
        <v>393108.173750001</v>
      </c>
      <c r="D20" s="46" t="n">
        <f aca="false">D12-D18</f>
        <v>421797.996566477</v>
      </c>
      <c r="E20" s="46" t="n">
        <f aca="false">E12-E18</f>
        <v>451028.327619919</v>
      </c>
      <c r="F20" s="46" t="n">
        <f aca="false">F12-F18</f>
        <v>480807.212515914</v>
      </c>
      <c r="G20" s="46" t="n">
        <f aca="false">G12-G18</f>
        <v>511142.805498948</v>
      </c>
      <c r="H20" s="46" t="n">
        <f aca="false">H12-H18</f>
        <v>542043.370850464</v>
      </c>
      <c r="I20" s="46" t="n">
        <f aca="false">I12-I18</f>
        <v>573517.284304486</v>
      </c>
      <c r="J20" s="46" t="n">
        <f aca="false">J12-J18</f>
        <v>605573.034481086</v>
      </c>
      <c r="K20" s="46" t="n">
        <f aca="false">K12-K18</f>
        <v>638219.224337871</v>
      </c>
      <c r="L20" s="46" t="n">
        <f aca="false">L12-L18</f>
        <v>671464.57263974</v>
      </c>
      <c r="M20" s="46" t="n">
        <f aca="false">M12-M18</f>
        <v>705317.915447115</v>
      </c>
      <c r="N20" s="46" t="n">
        <f aca="false">N12-N18</f>
        <v>739788.207622909</v>
      </c>
      <c r="O20" s="46" t="n">
        <f aca="false">O12-O18</f>
        <v>6733808.12563492</v>
      </c>
    </row>
    <row r="22" customFormat="false" ht="15" hidden="false" customHeight="false" outlineLevel="0" collapsed="false">
      <c r="A22" s="16" t="s">
        <v>154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customFormat="false" ht="15" hidden="false" customHeight="false" outlineLevel="0" collapsed="false">
      <c r="A23" s="5" t="s">
        <v>155</v>
      </c>
      <c r="C23" s="47" t="n">
        <f aca="false">Assumptions!$B$14</f>
        <v>380000</v>
      </c>
      <c r="D23" s="47" t="n">
        <f aca="false">Assumptions!$B$14</f>
        <v>380000</v>
      </c>
      <c r="E23" s="47" t="n">
        <f aca="false">Assumptions!$B$14</f>
        <v>380000</v>
      </c>
      <c r="F23" s="47" t="n">
        <f aca="false">Assumptions!$B$14</f>
        <v>380000</v>
      </c>
      <c r="G23" s="47" t="n">
        <f aca="false">Assumptions!$B$14</f>
        <v>380000</v>
      </c>
      <c r="H23" s="47" t="n">
        <f aca="false">Assumptions!$B$14</f>
        <v>380000</v>
      </c>
      <c r="I23" s="47" t="n">
        <f aca="false">Assumptions!$B$14</f>
        <v>380000</v>
      </c>
      <c r="J23" s="47" t="n">
        <f aca="false">Assumptions!$B$14</f>
        <v>380000</v>
      </c>
      <c r="K23" s="47" t="n">
        <f aca="false">Assumptions!$B$14</f>
        <v>380000</v>
      </c>
      <c r="L23" s="47" t="n">
        <f aca="false">Assumptions!$B$14</f>
        <v>380000</v>
      </c>
      <c r="M23" s="47" t="n">
        <f aca="false">Assumptions!$B$14</f>
        <v>380000</v>
      </c>
      <c r="N23" s="47" t="n">
        <f aca="false">Assumptions!$B$14</f>
        <v>380000</v>
      </c>
      <c r="O23" s="38" t="n">
        <f aca="false">SUM(C23:N23)</f>
        <v>4560000</v>
      </c>
    </row>
    <row r="24" customFormat="false" ht="15" hidden="false" customHeight="false" outlineLevel="0" collapsed="false">
      <c r="A24" s="5" t="s">
        <v>156</v>
      </c>
      <c r="C24" s="38" t="n">
        <f aca="false">C4*Assumptions!$B$15</f>
        <v>81414</v>
      </c>
      <c r="D24" s="38" t="n">
        <f aca="false">D4*Assumptions!$B$15</f>
        <v>82246.275</v>
      </c>
      <c r="E24" s="38" t="n">
        <f aca="false">E4*Assumptions!$B$15</f>
        <v>83087.144775</v>
      </c>
      <c r="F24" s="38" t="n">
        <f aca="false">F4*Assumptions!$B$15</f>
        <v>83936.699353125</v>
      </c>
      <c r="G24" s="38" t="n">
        <f aca="false">G4*Assumptions!$B$15</f>
        <v>84795.0297239869</v>
      </c>
      <c r="H24" s="38" t="n">
        <f aca="false">H4*Assumptions!$B$15</f>
        <v>85662.2278492173</v>
      </c>
      <c r="I24" s="38" t="n">
        <f aca="false">I4*Assumptions!$B$15</f>
        <v>86538.3866731199</v>
      </c>
      <c r="J24" s="38" t="n">
        <f aca="false">J4*Assumptions!$B$15</f>
        <v>87423.6001334428</v>
      </c>
      <c r="K24" s="38" t="n">
        <f aca="false">K4*Assumptions!$B$15</f>
        <v>88317.9631722727</v>
      </c>
      <c r="L24" s="38" t="n">
        <f aca="false">L4*Assumptions!$B$15</f>
        <v>89221.5717470533</v>
      </c>
      <c r="M24" s="38" t="n">
        <f aca="false">M4*Assumptions!$B$15</f>
        <v>90134.5228417276</v>
      </c>
      <c r="N24" s="38" t="n">
        <f aca="false">N4*Assumptions!$B$15</f>
        <v>91056.9144780067</v>
      </c>
      <c r="O24" s="38" t="n">
        <f aca="false">SUM(C24:N24)</f>
        <v>1033834.33574695</v>
      </c>
    </row>
    <row r="25" customFormat="false" ht="15" hidden="false" customHeight="false" outlineLevel="0" collapsed="false">
      <c r="A25" s="5" t="s">
        <v>157</v>
      </c>
      <c r="C25" s="47" t="n">
        <f aca="false">Assumptions!$B$16</f>
        <v>120000</v>
      </c>
      <c r="D25" s="47" t="n">
        <f aca="false">Assumptions!$B$16</f>
        <v>120000</v>
      </c>
      <c r="E25" s="47" t="n">
        <f aca="false">Assumptions!$B$16</f>
        <v>120000</v>
      </c>
      <c r="F25" s="47" t="n">
        <f aca="false">Assumptions!$B$16</f>
        <v>120000</v>
      </c>
      <c r="G25" s="47" t="n">
        <f aca="false">Assumptions!$B$16</f>
        <v>120000</v>
      </c>
      <c r="H25" s="47" t="n">
        <f aca="false">Assumptions!$B$16</f>
        <v>120000</v>
      </c>
      <c r="I25" s="47" t="n">
        <f aca="false">Assumptions!$B$16</f>
        <v>120000</v>
      </c>
      <c r="J25" s="47" t="n">
        <f aca="false">Assumptions!$B$16</f>
        <v>120000</v>
      </c>
      <c r="K25" s="47" t="n">
        <f aca="false">Assumptions!$B$16</f>
        <v>120000</v>
      </c>
      <c r="L25" s="47" t="n">
        <f aca="false">Assumptions!$B$16</f>
        <v>120000</v>
      </c>
      <c r="M25" s="47" t="n">
        <f aca="false">Assumptions!$B$16</f>
        <v>120000</v>
      </c>
      <c r="N25" s="47" t="n">
        <f aca="false">Assumptions!$B$16</f>
        <v>120000</v>
      </c>
      <c r="O25" s="38" t="n">
        <f aca="false">SUM(C25:N25)</f>
        <v>1440000</v>
      </c>
    </row>
    <row r="26" customFormat="false" ht="15" hidden="false" customHeight="false" outlineLevel="0" collapsed="false">
      <c r="A26" s="43" t="s">
        <v>158</v>
      </c>
      <c r="C26" s="44" t="n">
        <f aca="false">SUM(C23:C25)</f>
        <v>581414</v>
      </c>
      <c r="D26" s="44" t="n">
        <f aca="false">SUM(D23:D25)</f>
        <v>582246.275</v>
      </c>
      <c r="E26" s="44" t="n">
        <f aca="false">SUM(E23:E25)</f>
        <v>583087.144775</v>
      </c>
      <c r="F26" s="44" t="n">
        <f aca="false">SUM(F23:F25)</f>
        <v>583936.699353125</v>
      </c>
      <c r="G26" s="44" t="n">
        <f aca="false">SUM(G23:G25)</f>
        <v>584795.029723987</v>
      </c>
      <c r="H26" s="44" t="n">
        <f aca="false">SUM(H23:H25)</f>
        <v>585662.227849217</v>
      </c>
      <c r="I26" s="44" t="n">
        <f aca="false">SUM(I23:I25)</f>
        <v>586538.38667312</v>
      </c>
      <c r="J26" s="44" t="n">
        <f aca="false">SUM(J23:J25)</f>
        <v>587423.600133443</v>
      </c>
      <c r="K26" s="44" t="n">
        <f aca="false">SUM(K23:K25)</f>
        <v>588317.963172273</v>
      </c>
      <c r="L26" s="44" t="n">
        <f aca="false">SUM(L23:L25)</f>
        <v>589221.571747053</v>
      </c>
      <c r="M26" s="44" t="n">
        <f aca="false">SUM(M23:M25)</f>
        <v>590134.522841728</v>
      </c>
      <c r="N26" s="44" t="n">
        <f aca="false">SUM(N23:N25)</f>
        <v>591056.914478007</v>
      </c>
      <c r="O26" s="44" t="n">
        <f aca="false">SUM(O23:O25)</f>
        <v>7033834.33574695</v>
      </c>
    </row>
    <row r="28" customFormat="false" ht="15" hidden="false" customHeight="false" outlineLevel="0" collapsed="false">
      <c r="A28" s="48" t="s">
        <v>159</v>
      </c>
      <c r="C28" s="49" t="n">
        <f aca="false">C20-C26</f>
        <v>-188305.826249999</v>
      </c>
      <c r="D28" s="49" t="n">
        <f aca="false">D20-D26</f>
        <v>-160448.278433523</v>
      </c>
      <c r="E28" s="49" t="n">
        <f aca="false">E20-E26</f>
        <v>-132058.817155081</v>
      </c>
      <c r="F28" s="49" t="n">
        <f aca="false">F20-F26</f>
        <v>-103129.486837211</v>
      </c>
      <c r="G28" s="49" t="n">
        <f aca="false">G20-G26</f>
        <v>-73652.2242250386</v>
      </c>
      <c r="H28" s="49" t="n">
        <f aca="false">H20-H26</f>
        <v>-43618.856998753</v>
      </c>
      <c r="I28" s="49" t="n">
        <f aca="false">I20-I26</f>
        <v>-13021.1023686343</v>
      </c>
      <c r="J28" s="49" t="n">
        <f aca="false">J20-J26</f>
        <v>18149.4343476431</v>
      </c>
      <c r="K28" s="49" t="n">
        <f aca="false">K20-K26</f>
        <v>49901.2611655985</v>
      </c>
      <c r="L28" s="49" t="n">
        <f aca="false">L20-L26</f>
        <v>82243.0008926868</v>
      </c>
      <c r="M28" s="49" t="n">
        <f aca="false">M20-M26</f>
        <v>115183.392605387</v>
      </c>
      <c r="N28" s="49" t="n">
        <f aca="false">N20-N26</f>
        <v>148731.293144902</v>
      </c>
      <c r="O28" s="49" t="n">
        <f aca="false">O20-O26</f>
        <v>-300026.210112029</v>
      </c>
    </row>
    <row r="29" customFormat="false" ht="15" hidden="false" customHeight="false" outlineLevel="0" collapsed="false">
      <c r="A29" s="50" t="s">
        <v>160</v>
      </c>
      <c r="C29" s="51" t="n">
        <f aca="false">IF(C12=0,0,C28/C12)</f>
        <v>-0.0392495033685158</v>
      </c>
      <c r="D29" s="51" t="n">
        <f aca="false">IF(D12=0,0,D28/D12)</f>
        <v>-0.0330979901062418</v>
      </c>
      <c r="E29" s="51" t="n">
        <f aca="false">IF(E12=0,0,E28/E12)</f>
        <v>-0.0269606064903903</v>
      </c>
      <c r="F29" s="51" t="n">
        <f aca="false">IF(F12=0,0,F28/F12)</f>
        <v>-0.0208372472572928</v>
      </c>
      <c r="G29" s="51" t="n">
        <f aca="false">IF(G12=0,0,G28/G12)</f>
        <v>-0.0147278083766148</v>
      </c>
      <c r="H29" s="51" t="n">
        <f aca="false">IF(H12=0,0,H28/H12)</f>
        <v>-0.00863218704031879</v>
      </c>
      <c r="I29" s="51" t="n">
        <f aca="false">IF(I12=0,0,I28/I12)</f>
        <v>-0.00255028165175312</v>
      </c>
      <c r="J29" s="51" t="n">
        <f aca="false">IF(J12=0,0,J28/J12)</f>
        <v>0.00351800818514637</v>
      </c>
      <c r="K29" s="51" t="n">
        <f aca="false">IF(K12=0,0,K28/K12)</f>
        <v>0.00957278167653244</v>
      </c>
      <c r="L29" s="51" t="n">
        <f aca="false">IF(L12=0,0,L28/L12)</f>
        <v>0.0156141368492087</v>
      </c>
      <c r="M29" s="51" t="n">
        <f aca="false">IF(M12=0,0,M28/M12)</f>
        <v>0.0216421705610732</v>
      </c>
      <c r="N29" s="51" t="n">
        <f aca="false">IF(N12=0,0,N28/N12)</f>
        <v>0.0276569785114498</v>
      </c>
      <c r="O29" s="51" t="n">
        <f aca="false">IF(O12=0,0,O28/O12)</f>
        <v>-0.00491915064158151</v>
      </c>
    </row>
    <row r="30" customFormat="false" ht="15" hidden="false" customHeight="false" outlineLevel="0" collapsed="false">
      <c r="A30" s="50" t="s">
        <v>161</v>
      </c>
      <c r="C30" s="52" t="n">
        <f aca="false">IF(C4=0,0,C20/C4)</f>
        <v>86.9131491819591</v>
      </c>
      <c r="D30" s="52" t="n">
        <f aca="false">IF(D4=0,0,D20/D4)</f>
        <v>92.3125568689474</v>
      </c>
      <c r="E30" s="52" t="n">
        <f aca="false">IF(E4=0,0,E20/E4)</f>
        <v>97.7107820848034</v>
      </c>
      <c r="F30" s="52" t="n">
        <f aca="false">IF(F4=0,0,F20/F4)</f>
        <v>103.107816866571</v>
      </c>
      <c r="G30" s="52" t="n">
        <f aca="false">IF(G4=0,0,G20/G4)</f>
        <v>108.503653208561</v>
      </c>
      <c r="H30" s="52" t="n">
        <f aca="false">IF(H4=0,0,H20/H4)</f>
        <v>113.898283062195</v>
      </c>
      <c r="I30" s="52" t="n">
        <f aca="false">IF(I4=0,0,I20/I4)</f>
        <v>119.291698335847</v>
      </c>
      <c r="J30" s="52" t="n">
        <f aca="false">IF(J4=0,0,J20/J4)</f>
        <v>124.683890894694</v>
      </c>
      <c r="K30" s="52" t="n">
        <f aca="false">IF(K4=0,0,K20/K4)</f>
        <v>130.074852560553</v>
      </c>
      <c r="L30" s="52" t="n">
        <f aca="false">IF(L4=0,0,L20/L4)</f>
        <v>135.46457511173</v>
      </c>
      <c r="M30" s="52" t="n">
        <f aca="false">IF(M4=0,0,M20/M4)</f>
        <v>140.853050282867</v>
      </c>
      <c r="N30" s="52" t="n">
        <f aca="false">IF(N4=0,0,N20/N4)</f>
        <v>146.240269764782</v>
      </c>
      <c r="O30" s="52" t="n">
        <f aca="false">IF(O4=0,0,O20/O4)</f>
        <v>117.241749543804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"/>
    <col collapsed="false" customWidth="true" hidden="false" outlineLevel="0" max="14" min="3" style="0" width="10"/>
    <col collapsed="false" customWidth="true" hidden="false" outlineLevel="0" max="15" min="15" style="0" width="13"/>
  </cols>
  <sheetData>
    <row r="1" customFormat="false" ht="16.15" hidden="false" customHeight="false" outlineLevel="0" collapsed="false">
      <c r="A1" s="31" t="s">
        <v>162</v>
      </c>
    </row>
    <row r="2" customFormat="false" ht="15" hidden="false" customHeight="false" outlineLevel="0" collapsed="false">
      <c r="A2" s="14" t="s">
        <v>163</v>
      </c>
    </row>
    <row r="3" customFormat="false" ht="15" hidden="false" customHeight="false" outlineLevel="0" collapsed="false">
      <c r="C3" s="32" t="s">
        <v>104</v>
      </c>
      <c r="D3" s="32" t="s">
        <v>105</v>
      </c>
      <c r="E3" s="32" t="s">
        <v>106</v>
      </c>
      <c r="F3" s="32" t="s">
        <v>107</v>
      </c>
      <c r="G3" s="32" t="s">
        <v>108</v>
      </c>
      <c r="H3" s="32" t="s">
        <v>109</v>
      </c>
      <c r="I3" s="32" t="s">
        <v>110</v>
      </c>
      <c r="J3" s="32" t="s">
        <v>111</v>
      </c>
      <c r="K3" s="32" t="s">
        <v>112</v>
      </c>
      <c r="L3" s="32" t="s">
        <v>113</v>
      </c>
      <c r="M3" s="32" t="s">
        <v>114</v>
      </c>
      <c r="N3" s="32" t="s">
        <v>115</v>
      </c>
      <c r="O3" s="33" t="s">
        <v>98</v>
      </c>
    </row>
    <row r="4" customFormat="false" ht="15" hidden="false" customHeight="false" outlineLevel="0" collapsed="false">
      <c r="A4" s="16" t="s">
        <v>164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customFormat="false" ht="15" hidden="false" customHeight="false" outlineLevel="0" collapsed="false">
      <c r="A5" s="5" t="s">
        <v>165</v>
      </c>
      <c r="C5" s="47" t="n">
        <f aca="false">'P&amp;L (Monthly)'!C7+'P&amp;L (Monthly)'!C8+'P&amp;L (Monthly)'!C9+'P&amp;L (Monthly)'!C10</f>
        <v>4812818.17</v>
      </c>
      <c r="D5" s="47" t="n">
        <f aca="false">'P&amp;L (Monthly)'!D7+'P&amp;L (Monthly)'!D8+'P&amp;L (Monthly)'!D9+'P&amp;L (Monthly)'!D10</f>
        <v>4861026.9517</v>
      </c>
      <c r="E5" s="47" t="n">
        <f aca="false">'P&amp;L (Monthly)'!E7+'P&amp;L (Monthly)'!E8+'P&amp;L (Monthly)'!E9+'P&amp;L (Monthly)'!E10</f>
        <v>4909719.030217</v>
      </c>
      <c r="F5" s="47" t="n">
        <f aca="false">'P&amp;L (Monthly)'!F7+'P&amp;L (Monthly)'!F8+'P&amp;L (Monthly)'!F9+'P&amp;L (Monthly)'!F10</f>
        <v>4958899.25665417</v>
      </c>
      <c r="G5" s="47" t="n">
        <f aca="false">'P&amp;L (Monthly)'!G7+'P&amp;L (Monthly)'!G8+'P&amp;L (Monthly)'!G9+'P&amp;L (Monthly)'!G10</f>
        <v>5008572.53089774</v>
      </c>
      <c r="H5" s="47" t="n">
        <f aca="false">'P&amp;L (Monthly)'!H7+'P&amp;L (Monthly)'!H8+'P&amp;L (Monthly)'!H9+'P&amp;L (Monthly)'!H10</f>
        <v>5058743.8021089</v>
      </c>
      <c r="I5" s="47" t="n">
        <f aca="false">'P&amp;L (Monthly)'!I7+'P&amp;L (Monthly)'!I8+'P&amp;L (Monthly)'!I9+'P&amp;L (Monthly)'!I10</f>
        <v>5109418.0692207</v>
      </c>
      <c r="J5" s="47" t="n">
        <f aca="false">'P&amp;L (Monthly)'!J7+'P&amp;L (Monthly)'!J8+'P&amp;L (Monthly)'!J9+'P&amp;L (Monthly)'!J10</f>
        <v>5160600.38143998</v>
      </c>
      <c r="K5" s="47" t="n">
        <f aca="false">'P&amp;L (Monthly)'!K7+'P&amp;L (Monthly)'!K8+'P&amp;L (Monthly)'!K9+'P&amp;L (Monthly)'!K10</f>
        <v>5212295.83875436</v>
      </c>
      <c r="L5" s="47" t="n">
        <f aca="false">'P&amp;L (Monthly)'!L7+'P&amp;L (Monthly)'!L8+'P&amp;L (Monthly)'!L9+'P&amp;L (Monthly)'!L10</f>
        <v>5264509.59244438</v>
      </c>
      <c r="M5" s="47" t="n">
        <f aca="false">'P&amp;L (Monthly)'!M7+'P&amp;L (Monthly)'!M8+'P&amp;L (Monthly)'!M9+'P&amp;L (Monthly)'!M10</f>
        <v>5317246.84560084</v>
      </c>
      <c r="N5" s="47" t="n">
        <f aca="false">'P&amp;L (Monthly)'!N7+'P&amp;L (Monthly)'!N8+'P&amp;L (Monthly)'!N9+'P&amp;L (Monthly)'!N10</f>
        <v>5370512.85364735</v>
      </c>
      <c r="O5" s="38" t="n">
        <f aca="false">SUM(C5:N5)</f>
        <v>61044363.3226854</v>
      </c>
    </row>
    <row r="6" customFormat="false" ht="15" hidden="false" customHeight="false" outlineLevel="0" collapsed="false">
      <c r="A6" s="5" t="s">
        <v>166</v>
      </c>
      <c r="C6" s="53" t="n">
        <v>0</v>
      </c>
      <c r="D6" s="53" t="n">
        <v>0</v>
      </c>
      <c r="E6" s="53" t="n">
        <v>0</v>
      </c>
      <c r="F6" s="53" t="n">
        <v>0</v>
      </c>
      <c r="G6" s="53" t="n">
        <v>0</v>
      </c>
      <c r="H6" s="53" t="n">
        <v>0</v>
      </c>
      <c r="I6" s="53" t="n">
        <v>0</v>
      </c>
      <c r="J6" s="53" t="n">
        <v>0</v>
      </c>
      <c r="K6" s="53" t="n">
        <v>0</v>
      </c>
      <c r="L6" s="53" t="n">
        <v>0</v>
      </c>
      <c r="M6" s="53" t="n">
        <v>0</v>
      </c>
      <c r="N6" s="53" t="n">
        <v>0</v>
      </c>
      <c r="O6" s="38" t="n">
        <f aca="false">SUM(C6:N6)</f>
        <v>0</v>
      </c>
    </row>
    <row r="7" customFormat="false" ht="15" hidden="false" customHeight="false" outlineLevel="0" collapsed="false">
      <c r="A7" s="43" t="s">
        <v>167</v>
      </c>
      <c r="C7" s="44" t="n">
        <f aca="false">C5+C6</f>
        <v>4812818.17</v>
      </c>
      <c r="D7" s="44" t="n">
        <f aca="false">D5+D6</f>
        <v>4861026.9517</v>
      </c>
      <c r="E7" s="44" t="n">
        <f aca="false">E5+E6</f>
        <v>4909719.030217</v>
      </c>
      <c r="F7" s="44" t="n">
        <f aca="false">F5+F6</f>
        <v>4958899.25665417</v>
      </c>
      <c r="G7" s="44" t="n">
        <f aca="false">G5+G6</f>
        <v>5008572.53089774</v>
      </c>
      <c r="H7" s="44" t="n">
        <f aca="false">H5+H6</f>
        <v>5058743.8021089</v>
      </c>
      <c r="I7" s="44" t="n">
        <f aca="false">I5+I6</f>
        <v>5109418.0692207</v>
      </c>
      <c r="J7" s="44" t="n">
        <f aca="false">J5+J6</f>
        <v>5160600.38143998</v>
      </c>
      <c r="K7" s="44" t="n">
        <f aca="false">K5+K6</f>
        <v>5212295.83875436</v>
      </c>
      <c r="L7" s="44" t="n">
        <f aca="false">L5+L6</f>
        <v>5264509.59244438</v>
      </c>
      <c r="M7" s="44" t="n">
        <f aca="false">M5+M6</f>
        <v>5317246.84560084</v>
      </c>
      <c r="N7" s="44" t="n">
        <f aca="false">N5+N6</f>
        <v>5370512.85364735</v>
      </c>
      <c r="O7" s="44" t="n">
        <f aca="false">SUM(C7:N7)</f>
        <v>61044363.3226854</v>
      </c>
    </row>
    <row r="9" customFormat="false" ht="15" hidden="false" customHeight="false" outlineLevel="0" collapsed="false">
      <c r="A9" s="16" t="s">
        <v>168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customFormat="false" ht="15" hidden="false" customHeight="false" outlineLevel="0" collapsed="false">
      <c r="A10" s="5" t="s">
        <v>169</v>
      </c>
      <c r="C10" s="47" t="n">
        <f aca="false">0</f>
        <v>0</v>
      </c>
      <c r="D10" s="47" t="n">
        <f aca="false">0</f>
        <v>0</v>
      </c>
      <c r="E10" s="47" t="n">
        <f aca="false">'P&amp;L (Monthly)'!C15</f>
        <v>4371991.2</v>
      </c>
      <c r="F10" s="47" t="n">
        <f aca="false">'P&amp;L (Monthly)'!D15</f>
        <v>4392988.75636364</v>
      </c>
      <c r="G10" s="47" t="n">
        <f aca="false">'P&amp;L (Monthly)'!E15</f>
        <v>4413969.06473455</v>
      </c>
      <c r="H10" s="47" t="n">
        <f aca="false">'P&amp;L (Monthly)'!F15</f>
        <v>4434929.68039724</v>
      </c>
      <c r="I10" s="47" t="n">
        <f aca="false">'P&amp;L (Monthly)'!G15</f>
        <v>4455868.11146671</v>
      </c>
      <c r="J10" s="47" t="n">
        <f aca="false">'P&amp;L (Monthly)'!H15</f>
        <v>4476781.81818953</v>
      </c>
      <c r="K10" s="47" t="n">
        <f aca="false">'P&amp;L (Monthly)'!I15</f>
        <v>4497668.21223566</v>
      </c>
      <c r="L10" s="47" t="n">
        <f aca="false">'P&amp;L (Monthly)'!J15</f>
        <v>4518524.65598089</v>
      </c>
      <c r="M10" s="47" t="n">
        <f aca="false">'P&amp;L (Monthly)'!K15</f>
        <v>4539348.46177981</v>
      </c>
      <c r="N10" s="47" t="n">
        <f aca="false">'P&amp;L (Monthly)'!L15</f>
        <v>4560136.89122911</v>
      </c>
      <c r="O10" s="38" t="n">
        <f aca="false">SUM(C10:N10)</f>
        <v>44662206.8523771</v>
      </c>
    </row>
    <row r="11" customFormat="false" ht="15" hidden="false" customHeight="false" outlineLevel="0" collapsed="false">
      <c r="A11" s="5" t="s">
        <v>170</v>
      </c>
      <c r="C11" s="47" t="n">
        <f aca="false">'P&amp;L (Monthly)'!C16</f>
        <v>126630</v>
      </c>
      <c r="D11" s="47" t="n">
        <f aca="false">'P&amp;L (Monthly)'!D16</f>
        <v>127896.3</v>
      </c>
      <c r="E11" s="47" t="n">
        <f aca="false">'P&amp;L (Monthly)'!E16</f>
        <v>129175.263</v>
      </c>
      <c r="F11" s="47" t="n">
        <f aca="false">'P&amp;L (Monthly)'!F16</f>
        <v>130467.01563</v>
      </c>
      <c r="G11" s="47" t="n">
        <f aca="false">'P&amp;L (Monthly)'!G16</f>
        <v>131771.6857863</v>
      </c>
      <c r="H11" s="47" t="n">
        <f aca="false">'P&amp;L (Monthly)'!H16</f>
        <v>133089.402644163</v>
      </c>
      <c r="I11" s="47" t="n">
        <f aca="false">'P&amp;L (Monthly)'!I16</f>
        <v>134420.296670605</v>
      </c>
      <c r="J11" s="47" t="n">
        <f aca="false">'P&amp;L (Monthly)'!J16</f>
        <v>135764.499637311</v>
      </c>
      <c r="K11" s="47" t="n">
        <f aca="false">'P&amp;L (Monthly)'!K16</f>
        <v>137122.144633684</v>
      </c>
      <c r="L11" s="47" t="n">
        <f aca="false">'P&amp;L (Monthly)'!L16</f>
        <v>138493.366080021</v>
      </c>
      <c r="M11" s="47" t="n">
        <f aca="false">'P&amp;L (Monthly)'!M16</f>
        <v>139878.299740821</v>
      </c>
      <c r="N11" s="47" t="n">
        <f aca="false">'P&amp;L (Monthly)'!N16</f>
        <v>141277.082738229</v>
      </c>
      <c r="O11" s="38" t="n">
        <f aca="false">SUM(C11:N11)</f>
        <v>1605985.35656113</v>
      </c>
    </row>
    <row r="12" customFormat="false" ht="15" hidden="false" customHeight="false" outlineLevel="0" collapsed="false">
      <c r="A12" s="5" t="s">
        <v>171</v>
      </c>
      <c r="C12" s="47" t="n">
        <f aca="false">'P&amp;L (Monthly)'!C26</f>
        <v>581414</v>
      </c>
      <c r="D12" s="47" t="n">
        <f aca="false">'P&amp;L (Monthly)'!D26</f>
        <v>582246.275</v>
      </c>
      <c r="E12" s="47" t="n">
        <f aca="false">'P&amp;L (Monthly)'!E26</f>
        <v>583087.144775</v>
      </c>
      <c r="F12" s="47" t="n">
        <f aca="false">'P&amp;L (Monthly)'!F26</f>
        <v>583936.699353125</v>
      </c>
      <c r="G12" s="47" t="n">
        <f aca="false">'P&amp;L (Monthly)'!G26</f>
        <v>584795.029723987</v>
      </c>
      <c r="H12" s="47" t="n">
        <f aca="false">'P&amp;L (Monthly)'!H26</f>
        <v>585662.227849217</v>
      </c>
      <c r="I12" s="47" t="n">
        <f aca="false">'P&amp;L (Monthly)'!I26</f>
        <v>586538.38667312</v>
      </c>
      <c r="J12" s="47" t="n">
        <f aca="false">'P&amp;L (Monthly)'!J26</f>
        <v>587423.600133443</v>
      </c>
      <c r="K12" s="47" t="n">
        <f aca="false">'P&amp;L (Monthly)'!K26</f>
        <v>588317.963172273</v>
      </c>
      <c r="L12" s="47" t="n">
        <f aca="false">'P&amp;L (Monthly)'!L26</f>
        <v>589221.571747053</v>
      </c>
      <c r="M12" s="47" t="n">
        <f aca="false">'P&amp;L (Monthly)'!M26</f>
        <v>590134.522841728</v>
      </c>
      <c r="N12" s="47" t="n">
        <f aca="false">'P&amp;L (Monthly)'!N26</f>
        <v>591056.914478007</v>
      </c>
      <c r="O12" s="38" t="n">
        <f aca="false">SUM(C12:N12)</f>
        <v>7033834.33574695</v>
      </c>
    </row>
    <row r="13" customFormat="false" ht="15" hidden="false" customHeight="false" outlineLevel="0" collapsed="false">
      <c r="A13" s="43" t="s">
        <v>172</v>
      </c>
      <c r="C13" s="44" t="n">
        <f aca="false">C10+C11+C12</f>
        <v>708044</v>
      </c>
      <c r="D13" s="44" t="n">
        <f aca="false">D10+D11+D12</f>
        <v>710142.575</v>
      </c>
      <c r="E13" s="44" t="n">
        <f aca="false">E10+E11+E12</f>
        <v>5084253.607775</v>
      </c>
      <c r="F13" s="44" t="n">
        <f aca="false">F10+F11+F12</f>
        <v>5107392.47134676</v>
      </c>
      <c r="G13" s="44" t="n">
        <f aca="false">G10+G11+G12</f>
        <v>5130535.78024483</v>
      </c>
      <c r="H13" s="44" t="n">
        <f aca="false">H10+H11+H12</f>
        <v>5153681.31089062</v>
      </c>
      <c r="I13" s="44" t="n">
        <f aca="false">I10+I11+I12</f>
        <v>5176826.79481043</v>
      </c>
      <c r="J13" s="44" t="n">
        <f aca="false">J10+J11+J12</f>
        <v>5199969.91796028</v>
      </c>
      <c r="K13" s="44" t="n">
        <f aca="false">K10+K11+K12</f>
        <v>5223108.32004162</v>
      </c>
      <c r="L13" s="44" t="n">
        <f aca="false">L10+L11+L12</f>
        <v>5246239.59380797</v>
      </c>
      <c r="M13" s="44" t="n">
        <f aca="false">M10+M11+M12</f>
        <v>5269361.28436236</v>
      </c>
      <c r="N13" s="44" t="n">
        <f aca="false">N10+N11+N12</f>
        <v>5292470.88844534</v>
      </c>
      <c r="O13" s="44" t="n">
        <f aca="false">SUM(C13:N13)</f>
        <v>53302026.5446852</v>
      </c>
    </row>
    <row r="15" customFormat="false" ht="15" hidden="false" customHeight="false" outlineLevel="0" collapsed="false">
      <c r="A15" s="45" t="s">
        <v>173</v>
      </c>
      <c r="C15" s="46" t="n">
        <f aca="false">C7-C13</f>
        <v>4104774.17</v>
      </c>
      <c r="D15" s="46" t="n">
        <f aca="false">D7-D13</f>
        <v>4150884.3767</v>
      </c>
      <c r="E15" s="46" t="n">
        <f aca="false">E7-E13</f>
        <v>-174534.577558</v>
      </c>
      <c r="F15" s="46" t="n">
        <f aca="false">F7-F13</f>
        <v>-148493.21469259</v>
      </c>
      <c r="G15" s="46" t="n">
        <f aca="false">G7-G13</f>
        <v>-121963.249347094</v>
      </c>
      <c r="H15" s="46" t="n">
        <f aca="false">H7-H13</f>
        <v>-94937.50878172</v>
      </c>
      <c r="I15" s="46" t="n">
        <f aca="false">I7-I13</f>
        <v>-67408.7255897345</v>
      </c>
      <c r="J15" s="46" t="n">
        <f aca="false">J7-J13</f>
        <v>-39369.5365203032</v>
      </c>
      <c r="K15" s="46" t="n">
        <f aca="false">K7-K13</f>
        <v>-10812.4812872568</v>
      </c>
      <c r="L15" s="46" t="n">
        <f aca="false">L7-L13</f>
        <v>18269.9986364152</v>
      </c>
      <c r="M15" s="46" t="n">
        <f aca="false">M7-M13</f>
        <v>47885.5612384835</v>
      </c>
      <c r="N15" s="46" t="n">
        <f aca="false">N7-N13</f>
        <v>78041.9652020065</v>
      </c>
      <c r="O15" s="46" t="n">
        <f aca="false">SUM(C15:N15)</f>
        <v>7742336.77800021</v>
      </c>
    </row>
    <row r="16" customFormat="false" ht="15" hidden="false" customHeight="false" outlineLevel="0" collapsed="false">
      <c r="A16" s="54" t="s">
        <v>174</v>
      </c>
      <c r="C16" s="39" t="n">
        <f aca="false">C15</f>
        <v>4104774.17</v>
      </c>
      <c r="D16" s="39" t="n">
        <f aca="false">C16+D15</f>
        <v>8255658.5467</v>
      </c>
      <c r="E16" s="39" t="n">
        <f aca="false">D16+E15</f>
        <v>8081123.969142</v>
      </c>
      <c r="F16" s="39" t="n">
        <f aca="false">E16+F15</f>
        <v>7932630.75444941</v>
      </c>
      <c r="G16" s="39" t="n">
        <f aca="false">F16+G15</f>
        <v>7810667.50510232</v>
      </c>
      <c r="H16" s="39" t="n">
        <f aca="false">G16+H15</f>
        <v>7715729.9963206</v>
      </c>
      <c r="I16" s="39" t="n">
        <f aca="false">H16+I15</f>
        <v>7648321.27073086</v>
      </c>
      <c r="J16" s="39" t="n">
        <f aca="false">I16+J15</f>
        <v>7608951.73421056</v>
      </c>
      <c r="K16" s="39" t="n">
        <f aca="false">J16+K15</f>
        <v>7598139.2529233</v>
      </c>
      <c r="L16" s="39" t="n">
        <f aca="false">K16+L15</f>
        <v>7616409.25155972</v>
      </c>
      <c r="M16" s="39" t="n">
        <f aca="false">L16+M15</f>
        <v>7664294.8127982</v>
      </c>
      <c r="N16" s="39" t="n">
        <f aca="false">M16+N15</f>
        <v>7742336.77800021</v>
      </c>
      <c r="O16" s="39" t="n">
        <f aca="false">N16</f>
        <v>7742336.77800021</v>
      </c>
    </row>
    <row r="18" customFormat="false" ht="15" hidden="false" customHeight="false" outlineLevel="0" collapsed="false">
      <c r="A18" s="16" t="s">
        <v>175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customFormat="false" ht="15" hidden="false" customHeight="false" outlineLevel="0" collapsed="false">
      <c r="A19" s="5" t="s">
        <v>176</v>
      </c>
      <c r="C19" s="47" t="n">
        <f aca="false">'P&amp;L (Monthly)'!C15</f>
        <v>4371991.2</v>
      </c>
      <c r="D19" s="47" t="n">
        <f aca="false">'P&amp;L (Monthly)'!D15</f>
        <v>4392988.75636364</v>
      </c>
      <c r="E19" s="47" t="n">
        <f aca="false">'P&amp;L (Monthly)'!E15</f>
        <v>4413969.06473455</v>
      </c>
      <c r="F19" s="47" t="n">
        <f aca="false">'P&amp;L (Monthly)'!F15</f>
        <v>4434929.68039724</v>
      </c>
      <c r="G19" s="47" t="n">
        <f aca="false">'P&amp;L (Monthly)'!G15</f>
        <v>4455868.11146671</v>
      </c>
      <c r="H19" s="47" t="n">
        <f aca="false">'P&amp;L (Monthly)'!H15</f>
        <v>4476781.81818953</v>
      </c>
      <c r="I19" s="47" t="n">
        <f aca="false">'P&amp;L (Monthly)'!I15</f>
        <v>4497668.21223566</v>
      </c>
      <c r="J19" s="47" t="n">
        <f aca="false">'P&amp;L (Monthly)'!J15</f>
        <v>4518524.65598089</v>
      </c>
      <c r="K19" s="47" t="n">
        <f aca="false">'P&amp;L (Monthly)'!K15</f>
        <v>4539348.46177981</v>
      </c>
      <c r="L19" s="47" t="n">
        <f aca="false">'P&amp;L (Monthly)'!L15</f>
        <v>4560136.89122911</v>
      </c>
      <c r="M19" s="47" t="n">
        <f aca="false">'P&amp;L (Monthly)'!M15</f>
        <v>4580887.15442121</v>
      </c>
      <c r="N19" s="47" t="n">
        <f aca="false">'P&amp;L (Monthly)'!N15</f>
        <v>4601596.40918803</v>
      </c>
    </row>
    <row r="20" customFormat="false" ht="15" hidden="false" customHeight="false" outlineLevel="0" collapsed="false">
      <c r="A20" s="5" t="s">
        <v>177</v>
      </c>
      <c r="C20" s="38" t="n">
        <f aca="false">C10</f>
        <v>0</v>
      </c>
      <c r="D20" s="38" t="n">
        <f aca="false">D10</f>
        <v>0</v>
      </c>
      <c r="E20" s="38" t="n">
        <f aca="false">E10</f>
        <v>4371991.2</v>
      </c>
      <c r="F20" s="38" t="n">
        <f aca="false">F10</f>
        <v>4392988.75636364</v>
      </c>
      <c r="G20" s="38" t="n">
        <f aca="false">G10</f>
        <v>4413969.06473455</v>
      </c>
      <c r="H20" s="38" t="n">
        <f aca="false">H10</f>
        <v>4434929.68039724</v>
      </c>
      <c r="I20" s="38" t="n">
        <f aca="false">I10</f>
        <v>4455868.11146671</v>
      </c>
      <c r="J20" s="38" t="n">
        <f aca="false">J10</f>
        <v>4476781.81818953</v>
      </c>
      <c r="K20" s="38" t="n">
        <f aca="false">K10</f>
        <v>4497668.21223566</v>
      </c>
      <c r="L20" s="38" t="n">
        <f aca="false">L10</f>
        <v>4518524.65598089</v>
      </c>
      <c r="M20" s="38" t="n">
        <f aca="false">M10</f>
        <v>4539348.46177981</v>
      </c>
      <c r="N20" s="38" t="n">
        <f aca="false">N10</f>
        <v>4560136.89122911</v>
      </c>
    </row>
    <row r="21" customFormat="false" ht="15" hidden="false" customHeight="false" outlineLevel="0" collapsed="false">
      <c r="A21" s="55" t="s">
        <v>178</v>
      </c>
      <c r="C21" s="56" t="n">
        <f aca="false">C19-C20</f>
        <v>4371991.2</v>
      </c>
      <c r="D21" s="56" t="n">
        <f aca="false">C21+D19-D20</f>
        <v>8764979.95636364</v>
      </c>
      <c r="E21" s="56" t="n">
        <f aca="false">D21+E19-E20</f>
        <v>8806957.82109818</v>
      </c>
      <c r="F21" s="56" t="n">
        <f aca="false">E21+F19-F20</f>
        <v>8848898.74513178</v>
      </c>
      <c r="G21" s="56" t="n">
        <f aca="false">F21+G19-G20</f>
        <v>8890797.79186395</v>
      </c>
      <c r="H21" s="56" t="n">
        <f aca="false">G21+H19-H20</f>
        <v>8932649.92965624</v>
      </c>
      <c r="I21" s="56" t="n">
        <f aca="false">H21+I19-I20</f>
        <v>8974450.03042519</v>
      </c>
      <c r="J21" s="56" t="n">
        <f aca="false">I21+J19-J20</f>
        <v>9016192.86821656</v>
      </c>
      <c r="K21" s="56" t="n">
        <f aca="false">J21+K19-K20</f>
        <v>9057873.11776071</v>
      </c>
      <c r="L21" s="56" t="n">
        <f aca="false">K21+L19-L20</f>
        <v>9099485.35300892</v>
      </c>
      <c r="M21" s="56" t="n">
        <f aca="false">L21+M19-M20</f>
        <v>9141024.04565032</v>
      </c>
      <c r="N21" s="56" t="n">
        <f aca="false">M21+N19-N20</f>
        <v>9182483.56360924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57" t="s">
        <v>179</v>
      </c>
    </row>
    <row r="3" customFormat="false" ht="15" hidden="false" customHeight="false" outlineLevel="0" collapsed="false">
      <c r="A3" s="16" t="s">
        <v>180</v>
      </c>
      <c r="B3" s="17"/>
      <c r="C3" s="17"/>
      <c r="D3" s="17"/>
      <c r="E3" s="17"/>
    </row>
    <row r="4" customFormat="false" ht="15" hidden="false" customHeight="false" outlineLevel="0" collapsed="false">
      <c r="A4" s="23" t="s">
        <v>181</v>
      </c>
      <c r="B4" s="24" t="s">
        <v>182</v>
      </c>
      <c r="C4" s="24" t="s">
        <v>183</v>
      </c>
      <c r="D4" s="24" t="s">
        <v>184</v>
      </c>
    </row>
    <row r="5" customFormat="false" ht="15" hidden="false" customHeight="false" outlineLevel="0" collapsed="false">
      <c r="A5" s="5" t="s">
        <v>60</v>
      </c>
      <c r="B5" s="58" t="n">
        <f aca="false">(Assumptions!$B$37*(Assumptions!$B$36*Assumptions!$B$52)*Assumptions!$B$38)+(Assumptions!$B$39+Assumptions!$B$40+Assumptions!$B$41)+IF(Assumptions!$B$33=1,0,IF(((Assumptions!$B$37*(Assumptions!$B$36*Assumptions!$B$52)*Assumptions!$B$42)-(Assumptions!$B$46*Assumptions!$C$52))&gt;=0,((Assumptions!$B$37*(Assumptions!$B$36*Assumptions!$B$52)*Assumptions!$B$42)-(Assumptions!$B$46*Assumptions!$C$52))*Assumptions!$B$43,((Assumptions!$B$37*(Assumptions!$B$36*Assumptions!$B$52)*Assumptions!$B$42)-(Assumptions!$B$46*Assumptions!$C$52))*Assumptions!$B$44*Assumptions!$B$45))-(Assumptions!$B$33*(Assumptions!$B$46*Assumptions!$C$52))-(Assumptions!$B$33*(Assumptions!$B$47-Assumptions!$B$48))</f>
        <v>98.0400000000002</v>
      </c>
      <c r="C5" s="58" t="n">
        <f aca="false">(Assumptions!$B$37*(Assumptions!$B$36*Assumptions!$B$53)*Assumptions!$B$38)+(Assumptions!$B$39+Assumptions!$B$40+Assumptions!$B$41)+IF(Assumptions!$B$33=1,0,IF(((Assumptions!$B$37*(Assumptions!$B$36*Assumptions!$B$53)*Assumptions!$B$42)-(Assumptions!$B$46*Assumptions!$C$53))&gt;=0,((Assumptions!$B$37*(Assumptions!$B$36*Assumptions!$B$53)*Assumptions!$B$42)-(Assumptions!$B$46*Assumptions!$C$53))*Assumptions!$B$43,((Assumptions!$B$37*(Assumptions!$B$36*Assumptions!$B$53)*Assumptions!$B$42)-(Assumptions!$B$46*Assumptions!$C$53))*Assumptions!$B$44*Assumptions!$B$45))-(Assumptions!$B$33*(Assumptions!$B$46*Assumptions!$C$53))-(Assumptions!$B$33*(Assumptions!$B$47-Assumptions!$B$48))</f>
        <v>260.568</v>
      </c>
      <c r="D5" s="58" t="n">
        <f aca="false">(Assumptions!$B$37*(Assumptions!$B$36*Assumptions!$B$54)*Assumptions!$B$38)+(Assumptions!$B$39+Assumptions!$B$40+Assumptions!$B$41)+IF(Assumptions!$B$33=1,0,IF(((Assumptions!$B$37*(Assumptions!$B$36*Assumptions!$B$54)*Assumptions!$B$42)-(Assumptions!$B$46*Assumptions!$C$54))&gt;=0,((Assumptions!$B$37*(Assumptions!$B$36*Assumptions!$B$54)*Assumptions!$B$42)-(Assumptions!$B$46*Assumptions!$C$54))*Assumptions!$B$43,((Assumptions!$B$37*(Assumptions!$B$36*Assumptions!$B$54)*Assumptions!$B$42)-(Assumptions!$B$46*Assumptions!$C$54))*Assumptions!$B$44*Assumptions!$B$45))-(Assumptions!$B$33*(Assumptions!$B$46*Assumptions!$C$54))-(Assumptions!$B$33*(Assumptions!$B$47-Assumptions!$B$48))</f>
        <v>312.6</v>
      </c>
    </row>
    <row r="6" customFormat="false" ht="15" hidden="false" customHeight="false" outlineLevel="0" collapsed="false">
      <c r="A6" s="5" t="s">
        <v>61</v>
      </c>
      <c r="B6" s="58" t="n">
        <f aca="false">(Assumptions!$C$37*(Assumptions!$C$36*Assumptions!$B$52)*Assumptions!$C$38)+(Assumptions!$C$39+Assumptions!$C$40+Assumptions!$C$41)+IF(Assumptions!$C$33=1,0,IF(((Assumptions!$C$37*(Assumptions!$C$36*Assumptions!$B$52)*Assumptions!$C$42)-(Assumptions!$C$46*Assumptions!$C$52))&gt;=0,((Assumptions!$C$37*(Assumptions!$C$36*Assumptions!$B$52)*Assumptions!$C$42)-(Assumptions!$C$46*Assumptions!$C$52))*Assumptions!$C$43,((Assumptions!$C$37*(Assumptions!$C$36*Assumptions!$B$52)*Assumptions!$C$42)-(Assumptions!$C$46*Assumptions!$C$52))*Assumptions!$C$44*Assumptions!$C$45))-(Assumptions!$C$33*(Assumptions!$C$46*Assumptions!$C$52))-(Assumptions!$C$33*(Assumptions!$C$47-Assumptions!$C$48))</f>
        <v>22.73</v>
      </c>
      <c r="C6" s="58" t="n">
        <f aca="false">(Assumptions!$C$37*(Assumptions!$C$36*Assumptions!$B$53)*Assumptions!$C$38)+(Assumptions!$C$39+Assumptions!$C$40+Assumptions!$C$41)+IF(Assumptions!$C$33=1,0,IF(((Assumptions!$C$37*(Assumptions!$C$36*Assumptions!$B$53)*Assumptions!$C$42)-(Assumptions!$C$46*Assumptions!$C$53))&gt;=0,((Assumptions!$C$37*(Assumptions!$C$36*Assumptions!$B$53)*Assumptions!$C$42)-(Assumptions!$C$46*Assumptions!$C$53))*Assumptions!$C$43,((Assumptions!$C$37*(Assumptions!$C$36*Assumptions!$B$53)*Assumptions!$C$42)-(Assumptions!$C$46*Assumptions!$C$53))*Assumptions!$C$44*Assumptions!$C$45))-(Assumptions!$C$33*(Assumptions!$C$46*Assumptions!$C$53))-(Assumptions!$C$33*(Assumptions!$C$47-Assumptions!$C$48))</f>
        <v>95.026</v>
      </c>
      <c r="D6" s="58" t="n">
        <f aca="false">(Assumptions!$C$37*(Assumptions!$C$36*Assumptions!$B$54)*Assumptions!$C$38)+(Assumptions!$C$39+Assumptions!$C$40+Assumptions!$C$41)+IF(Assumptions!$C$33=1,0,IF(((Assumptions!$C$37*(Assumptions!$C$36*Assumptions!$B$54)*Assumptions!$C$42)-(Assumptions!$C$46*Assumptions!$C$54))&gt;=0,((Assumptions!$C$37*(Assumptions!$C$36*Assumptions!$B$54)*Assumptions!$C$42)-(Assumptions!$C$46*Assumptions!$C$54))*Assumptions!$C$43,((Assumptions!$C$37*(Assumptions!$C$36*Assumptions!$B$54)*Assumptions!$C$42)-(Assumptions!$C$46*Assumptions!$C$54))*Assumptions!$C$44*Assumptions!$C$45))-(Assumptions!$C$33*(Assumptions!$C$46*Assumptions!$C$54))-(Assumptions!$C$33*(Assumptions!$C$47-Assumptions!$C$48))</f>
        <v>118.7</v>
      </c>
    </row>
    <row r="7" customFormat="false" ht="15" hidden="false" customHeight="false" outlineLevel="0" collapsed="false">
      <c r="A7" s="5" t="s">
        <v>185</v>
      </c>
      <c r="B7" s="58" t="n">
        <f aca="false">(Assumptions!$D$37*(Assumptions!$D$36*Assumptions!$B$52)*Assumptions!$D$38)+(Assumptions!$D$39+Assumptions!$D$40+Assumptions!$D$41)+IF(Assumptions!$D$33=1,0,IF(((Assumptions!$D$37*(Assumptions!$D$36*Assumptions!$B$52)*Assumptions!$D$42)-(Assumptions!$D$46*Assumptions!$C$52))&gt;=0,((Assumptions!$D$37*(Assumptions!$D$36*Assumptions!$B$52)*Assumptions!$D$42)-(Assumptions!$D$46*Assumptions!$C$52))*Assumptions!$D$43,((Assumptions!$D$37*(Assumptions!$D$36*Assumptions!$B$52)*Assumptions!$D$42)-(Assumptions!$D$46*Assumptions!$C$52))*Assumptions!$D$44*Assumptions!$D$45))-(Assumptions!$D$33*(Assumptions!$D$46*Assumptions!$C$52))-(Assumptions!$D$33*(Assumptions!$D$47-Assumptions!$D$48))</f>
        <v>50</v>
      </c>
      <c r="C7" s="58" t="n">
        <f aca="false">(Assumptions!$D$37*(Assumptions!$D$36*Assumptions!$B$53)*Assumptions!$D$38)+(Assumptions!$D$39+Assumptions!$D$40+Assumptions!$D$41)+IF(Assumptions!$D$33=1,0,IF(((Assumptions!$D$37*(Assumptions!$D$36*Assumptions!$B$53)*Assumptions!$D$42)-(Assumptions!$D$46*Assumptions!$C$53))&gt;=0,((Assumptions!$D$37*(Assumptions!$D$36*Assumptions!$B$53)*Assumptions!$D$42)-(Assumptions!$D$46*Assumptions!$C$53))*Assumptions!$D$43,((Assumptions!$D$37*(Assumptions!$D$36*Assumptions!$B$53)*Assumptions!$D$42)-(Assumptions!$D$46*Assumptions!$C$53))*Assumptions!$D$44*Assumptions!$D$45))-(Assumptions!$D$33*(Assumptions!$D$46*Assumptions!$C$53))-(Assumptions!$D$33*(Assumptions!$D$47-Assumptions!$D$48))</f>
        <v>62.78</v>
      </c>
      <c r="D7" s="58" t="n">
        <f aca="false">(Assumptions!$D$37*(Assumptions!$D$36*Assumptions!$B$54)*Assumptions!$D$38)+(Assumptions!$D$39+Assumptions!$D$40+Assumptions!$D$41)+IF(Assumptions!$D$33=1,0,IF(((Assumptions!$D$37*(Assumptions!$D$36*Assumptions!$B$54)*Assumptions!$D$42)-(Assumptions!$D$46*Assumptions!$C$54))&gt;=0,((Assumptions!$D$37*(Assumptions!$D$36*Assumptions!$B$54)*Assumptions!$D$42)-(Assumptions!$D$46*Assumptions!$C$54))*Assumptions!$D$43,((Assumptions!$D$37*(Assumptions!$D$36*Assumptions!$B$54)*Assumptions!$D$42)-(Assumptions!$D$46*Assumptions!$C$54))*Assumptions!$D$44*Assumptions!$D$45))-(Assumptions!$D$33*(Assumptions!$D$46*Assumptions!$C$54))-(Assumptions!$D$33*(Assumptions!$D$47-Assumptions!$D$48))</f>
        <v>89</v>
      </c>
    </row>
    <row r="8" customFormat="false" ht="15" hidden="false" customHeight="false" outlineLevel="0" collapsed="false">
      <c r="A8" s="5" t="s">
        <v>186</v>
      </c>
      <c r="B8" s="58" t="n">
        <f aca="false">(Assumptions!$E$37*(Assumptions!$E$36*Assumptions!$B$52)*Assumptions!$E$38)+(Assumptions!$E$39+Assumptions!$E$40+Assumptions!$E$41)+IF(Assumptions!$E$33=1,0,IF(((Assumptions!$E$37*(Assumptions!$E$36*Assumptions!$B$52)*Assumptions!$E$42)-(Assumptions!$E$46*Assumptions!$C$52))&gt;=0,((Assumptions!$E$37*(Assumptions!$E$36*Assumptions!$B$52)*Assumptions!$E$42)-(Assumptions!$E$46*Assumptions!$C$52))*Assumptions!$E$43,((Assumptions!$E$37*(Assumptions!$E$36*Assumptions!$B$52)*Assumptions!$E$42)-(Assumptions!$E$46*Assumptions!$C$52))*Assumptions!$E$44*Assumptions!$E$45))-(Assumptions!$E$33*(Assumptions!$E$46*Assumptions!$C$52))-(Assumptions!$E$33*(Assumptions!$E$47-Assumptions!$E$48))</f>
        <v>77.2074999999999</v>
      </c>
      <c r="C8" s="58" t="n">
        <f aca="false">(Assumptions!$E$37*(Assumptions!$E$36*Assumptions!$B$53)*Assumptions!$E$38)+(Assumptions!$E$39+Assumptions!$E$40+Assumptions!$E$41)+IF(Assumptions!$E$33=1,0,IF(((Assumptions!$E$37*(Assumptions!$E$36*Assumptions!$B$53)*Assumptions!$E$42)-(Assumptions!$E$46*Assumptions!$C$53))&gt;=0,((Assumptions!$E$37*(Assumptions!$E$36*Assumptions!$B$53)*Assumptions!$E$42)-(Assumptions!$E$46*Assumptions!$C$53))*Assumptions!$E$43,((Assumptions!$E$37*(Assumptions!$E$36*Assumptions!$B$53)*Assumptions!$E$42)-(Assumptions!$E$46*Assumptions!$C$53))*Assumptions!$E$44*Assumptions!$E$45))-(Assumptions!$E$33*(Assumptions!$E$46*Assumptions!$C$53))-(Assumptions!$E$33*(Assumptions!$E$47-Assumptions!$E$48))</f>
        <v>144.7415</v>
      </c>
      <c r="D8" s="58" t="n">
        <f aca="false">(Assumptions!$E$37*(Assumptions!$E$36*Assumptions!$B$54)*Assumptions!$E$38)+(Assumptions!$E$39+Assumptions!$E$40+Assumptions!$E$41)+IF(Assumptions!$E$33=1,0,IF(((Assumptions!$E$37*(Assumptions!$E$36*Assumptions!$B$54)*Assumptions!$E$42)-(Assumptions!$E$46*Assumptions!$C$54))&gt;=0,((Assumptions!$E$37*(Assumptions!$E$36*Assumptions!$B$54)*Assumptions!$E$42)-(Assumptions!$E$46*Assumptions!$C$54))*Assumptions!$E$43,((Assumptions!$E$37*(Assumptions!$E$36*Assumptions!$B$54)*Assumptions!$E$42)-(Assumptions!$E$46*Assumptions!$C$54))*Assumptions!$E$44*Assumptions!$E$45))-(Assumptions!$E$33*(Assumptions!$E$46*Assumptions!$C$54))-(Assumptions!$E$33*(Assumptions!$E$47-Assumptions!$E$48))</f>
        <v>166.675</v>
      </c>
    </row>
    <row r="9" customFormat="false" ht="15" hidden="false" customHeight="false" outlineLevel="0" collapsed="false">
      <c r="A9" s="43" t="s">
        <v>187</v>
      </c>
      <c r="B9" s="59" t="n">
        <f aca="false">(B5*Assumptions!$B$34+B6*Assumptions!$C$34+B7*Assumptions!$D$34+B8*Assumptions!$E$34)/(Assumptions!$B$34+Assumptions!$C$34+Assumptions!$D$34+Assumptions!$E$34)</f>
        <v>86.9142222222224</v>
      </c>
      <c r="C9" s="59" t="n">
        <f aca="false">(C5*Assumptions!$B$34+C6*Assumptions!$C$34+C7*Assumptions!$D$34+C8*Assumptions!$E$34)/(Assumptions!$B$34+Assumptions!$C$34+Assumptions!$D$34+Assumptions!$E$34)</f>
        <v>227.877733333334</v>
      </c>
      <c r="D9" s="59" t="n">
        <f aca="false">(D5*Assumptions!$B$34+D6*Assumptions!$C$34+D7*Assumptions!$D$34+D8*Assumptions!$E$34)/(Assumptions!$B$34+Assumptions!$C$34+Assumptions!$D$34+Assumptions!$E$34)</f>
        <v>274.302222222222</v>
      </c>
    </row>
    <row r="11" customFormat="false" ht="15" hidden="false" customHeight="false" outlineLevel="0" collapsed="false">
      <c r="A11" s="16" t="s">
        <v>188</v>
      </c>
      <c r="B11" s="17"/>
      <c r="C11" s="17"/>
      <c r="D11" s="17"/>
      <c r="E11" s="17"/>
    </row>
    <row r="12" customFormat="false" ht="15" hidden="false" customHeight="false" outlineLevel="0" collapsed="false">
      <c r="A12" s="4"/>
      <c r="B12" s="24" t="s">
        <v>98</v>
      </c>
      <c r="C12" s="24" t="s">
        <v>95</v>
      </c>
      <c r="D12" s="24" t="s">
        <v>99</v>
      </c>
    </row>
    <row r="13" customFormat="false" ht="15" hidden="false" customHeight="false" outlineLevel="0" collapsed="false">
      <c r="A13" s="5" t="s">
        <v>189</v>
      </c>
      <c r="B13" s="35" t="n">
        <f aca="false">Assumptions!$B$58</f>
        <v>4500</v>
      </c>
      <c r="C13" s="35" t="n">
        <f aca="false">B13*Assumptions!$B$59</f>
        <v>4050</v>
      </c>
      <c r="D13" s="35" t="n">
        <f aca="false">C13*Assumptions!$B$59</f>
        <v>3645</v>
      </c>
    </row>
    <row r="14" customFormat="false" ht="15" hidden="false" customHeight="false" outlineLevel="0" collapsed="false">
      <c r="A14" s="5" t="s">
        <v>190</v>
      </c>
      <c r="B14" s="35" t="n">
        <v>0</v>
      </c>
      <c r="C14" s="35" t="n">
        <f aca="false">Assumptions!$C$58</f>
        <v>900</v>
      </c>
      <c r="D14" s="35" t="n">
        <f aca="false">C14*Assumptions!$B$59</f>
        <v>810</v>
      </c>
    </row>
    <row r="15" customFormat="false" ht="15" hidden="false" customHeight="false" outlineLevel="0" collapsed="false">
      <c r="A15" s="5" t="s">
        <v>191</v>
      </c>
      <c r="B15" s="35" t="n">
        <v>0</v>
      </c>
      <c r="C15" s="35" t="n">
        <v>0</v>
      </c>
      <c r="D15" s="35" t="n">
        <f aca="false">Assumptions!$D$58</f>
        <v>800</v>
      </c>
    </row>
    <row r="16" customFormat="false" ht="15" hidden="false" customHeight="false" outlineLevel="0" collapsed="false">
      <c r="A16" s="43" t="s">
        <v>192</v>
      </c>
      <c r="B16" s="60" t="n">
        <f aca="false">SUM(B13:B15)</f>
        <v>4500</v>
      </c>
      <c r="C16" s="60" t="n">
        <f aca="false">SUM(C13:C15)</f>
        <v>4950</v>
      </c>
      <c r="D16" s="60" t="n">
        <f aca="false">SUM(D13:D15)</f>
        <v>5255</v>
      </c>
    </row>
    <row r="18" customFormat="false" ht="15" hidden="false" customHeight="false" outlineLevel="0" collapsed="false">
      <c r="A18" s="16" t="s">
        <v>193</v>
      </c>
      <c r="B18" s="17"/>
      <c r="C18" s="17"/>
      <c r="D18" s="17"/>
      <c r="E18" s="17"/>
    </row>
    <row r="19" customFormat="false" ht="15" hidden="false" customHeight="false" outlineLevel="0" collapsed="false">
      <c r="A19" s="4"/>
      <c r="B19" s="24" t="s">
        <v>98</v>
      </c>
      <c r="C19" s="24" t="s">
        <v>95</v>
      </c>
      <c r="D19" s="24" t="s">
        <v>99</v>
      </c>
    </row>
    <row r="20" customFormat="false" ht="15" hidden="false" customHeight="false" outlineLevel="0" collapsed="false">
      <c r="A20" s="5" t="s">
        <v>194</v>
      </c>
      <c r="B20" s="34" t="n">
        <f aca="false">'P&amp;L (Monthly)'!O4</f>
        <v>57435.2408748307</v>
      </c>
      <c r="C20" s="35" t="n">
        <f aca="false">C16*12</f>
        <v>59400</v>
      </c>
      <c r="D20" s="35" t="n">
        <f aca="false">D16*12</f>
        <v>63060</v>
      </c>
    </row>
    <row r="21" customFormat="false" ht="15" hidden="false" customHeight="false" outlineLevel="0" collapsed="false">
      <c r="A21" s="5" t="s">
        <v>195</v>
      </c>
      <c r="B21" s="47" t="n">
        <f aca="false">'P&amp;L (Monthly)'!O20/'P&amp;L (Monthly)'!O4</f>
        <v>117.241749543804</v>
      </c>
      <c r="C21" s="38" t="n">
        <f aca="false">(C13*C9+C14*B9)/C16+('P&amp;L (Monthly)'!O20/'P&amp;L (Monthly)'!O4-B9)</f>
        <v>232.575531361985</v>
      </c>
      <c r="D21" s="38" t="n">
        <f aca="false">(D13*D9+D14*C9+D15*B9)/D16+('P&amp;L (Monthly)'!O20/'P&amp;L (Monthly)'!O4-B9)</f>
        <v>268.946736032862</v>
      </c>
    </row>
    <row r="22" customFormat="false" ht="15" hidden="false" customHeight="false" outlineLevel="0" collapsed="false">
      <c r="A22" s="10" t="s">
        <v>196</v>
      </c>
      <c r="B22" s="61" t="n">
        <f aca="false">'P&amp;L (Monthly)'!O20</f>
        <v>6733808.12563492</v>
      </c>
      <c r="C22" s="39" t="n">
        <f aca="false">C21*C20</f>
        <v>13814986.5629019</v>
      </c>
      <c r="D22" s="39" t="n">
        <f aca="false">D21*D20</f>
        <v>16959781.1742323</v>
      </c>
    </row>
    <row r="23" customFormat="false" ht="15" hidden="false" customHeight="false" outlineLevel="0" collapsed="false">
      <c r="A23" s="5" t="s">
        <v>197</v>
      </c>
      <c r="B23" s="47" t="n">
        <f aca="false">'P&amp;L (Monthly)'!O26</f>
        <v>7033834.33574695</v>
      </c>
      <c r="C23" s="38" t="n">
        <f aca="false">(Assumptions!$B$14+Assumptions!$B$16)*12+C20*Assumptions!$B$15</f>
        <v>7069200</v>
      </c>
      <c r="D23" s="38" t="n">
        <f aca="false">(Assumptions!$B$14+Assumptions!$B$16)*12+D20*Assumptions!$B$15</f>
        <v>7135080</v>
      </c>
    </row>
    <row r="24" customFormat="false" ht="15" hidden="false" customHeight="false" outlineLevel="0" collapsed="false">
      <c r="A24" s="16" t="s">
        <v>198</v>
      </c>
      <c r="B24" s="62" t="n">
        <f aca="false">'P&amp;L (Monthly)'!O28</f>
        <v>-300026.210112029</v>
      </c>
      <c r="C24" s="62" t="n">
        <f aca="false">C22-C23</f>
        <v>6745786.56290193</v>
      </c>
      <c r="D24" s="62" t="n">
        <f aca="false">D22-D23</f>
        <v>9824701.17423225</v>
      </c>
    </row>
    <row r="25" customFormat="false" ht="15" hidden="false" customHeight="false" outlineLevel="0" collapsed="false">
      <c r="A25" s="50" t="s">
        <v>199</v>
      </c>
      <c r="B25" s="51" t="n">
        <f aca="false">IF(B22=0,0,B24/B22)</f>
        <v>-0.0445552062836272</v>
      </c>
      <c r="C25" s="51" t="n">
        <f aca="false">IF(C22=0,0,C24/C22)</f>
        <v>0.488294833454035</v>
      </c>
      <c r="D25" s="51" t="n">
        <f aca="false">IF(D22=0,0,D24/D22)</f>
        <v>0.579294100159698</v>
      </c>
    </row>
    <row r="27" customFormat="false" ht="15" hidden="false" customHeight="false" outlineLevel="0" collapsed="false">
      <c r="A27" s="63" t="s">
        <v>200</v>
      </c>
    </row>
    <row r="28" customFormat="false" ht="15" hidden="false" customHeight="false" outlineLevel="0" collapsed="false">
      <c r="A28" s="63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57" t="s">
        <v>202</v>
      </c>
    </row>
    <row r="3" customFormat="false" ht="15" hidden="false" customHeight="false" outlineLevel="0" collapsed="false">
      <c r="A3" s="16" t="s">
        <v>203</v>
      </c>
      <c r="B3" s="17"/>
      <c r="C3" s="17"/>
      <c r="D3" s="17"/>
      <c r="E3" s="17"/>
      <c r="F3" s="17"/>
    </row>
    <row r="4" customFormat="false" ht="15" hidden="false" customHeight="false" outlineLevel="0" collapsed="false">
      <c r="A4" s="23" t="s">
        <v>59</v>
      </c>
      <c r="B4" s="24" t="s">
        <v>60</v>
      </c>
      <c r="C4" s="24" t="s">
        <v>61</v>
      </c>
      <c r="D4" s="24" t="s">
        <v>185</v>
      </c>
      <c r="E4" s="24" t="s">
        <v>186</v>
      </c>
      <c r="F4" s="64" t="s">
        <v>204</v>
      </c>
    </row>
    <row r="5" customFormat="false" ht="15" hidden="false" customHeight="false" outlineLevel="0" collapsed="false">
      <c r="A5" s="5" t="s">
        <v>205</v>
      </c>
      <c r="B5" s="65" t="n">
        <f aca="false">'A. Full Cap'!O5</f>
        <v>4056.57010847509</v>
      </c>
      <c r="C5" s="65" t="n">
        <f aca="false">'B. Two-Sided'!O5</f>
        <v>507.071263559386</v>
      </c>
      <c r="D5" s="65" t="n">
        <f aca="false">'C. Upside'!O5</f>
        <v>281.706257532992</v>
      </c>
      <c r="E5" s="65" t="n">
        <f aca="false">'D. REACH'!O5</f>
        <v>239.123634292307</v>
      </c>
      <c r="F5" s="66" t="n">
        <f aca="false">SUM(B5:E5)</f>
        <v>5084.47126385978</v>
      </c>
    </row>
    <row r="6" customFormat="false" ht="15" hidden="false" customHeight="false" outlineLevel="0" collapsed="false">
      <c r="A6" s="5" t="s">
        <v>206</v>
      </c>
      <c r="B6" s="67" t="n">
        <f aca="false">Assumptions!B36</f>
        <v>1.12</v>
      </c>
      <c r="C6" s="67" t="n">
        <f aca="false">Assumptions!C36</f>
        <v>1.05</v>
      </c>
      <c r="D6" s="67" t="n">
        <f aca="false">Assumptions!D36</f>
        <v>1</v>
      </c>
      <c r="E6" s="67" t="n">
        <f aca="false">Assumptions!E36</f>
        <v>1.05</v>
      </c>
    </row>
    <row r="7" customFormat="false" ht="15" hidden="false" customHeight="false" outlineLevel="0" collapsed="false">
      <c r="A7" s="5" t="s">
        <v>207</v>
      </c>
      <c r="B7" s="67" t="n">
        <f aca="false">'A. Full Cap'!C9</f>
        <v>1.008</v>
      </c>
      <c r="C7" s="67" t="n">
        <f aca="false">'B. Two-Sided'!C9</f>
        <v>0.945</v>
      </c>
      <c r="D7" s="67" t="n">
        <f aca="false">'C. Upside'!C9</f>
        <v>0.9</v>
      </c>
      <c r="E7" s="67" t="n">
        <f aca="false">'D. REACH'!C9</f>
        <v>0.945</v>
      </c>
    </row>
    <row r="8" customFormat="false" ht="15" hidden="false" customHeight="false" outlineLevel="0" collapsed="false">
      <c r="A8" s="5" t="s">
        <v>208</v>
      </c>
      <c r="B8" s="58" t="n">
        <f aca="false">'A. Full Cap'!O23</f>
        <v>60359353.6409936</v>
      </c>
      <c r="C8" s="58" t="n">
        <f aca="false">'B. Two-Sided'!O23</f>
        <v>228807.632610575</v>
      </c>
      <c r="D8" s="58" t="n">
        <f aca="false">'C. Upside'!O23</f>
        <v>159323.944103287</v>
      </c>
      <c r="E8" s="58" t="n">
        <f aca="false">'D. REACH'!O23</f>
        <v>243980.987029528</v>
      </c>
      <c r="F8" s="59" t="n">
        <f aca="false">SUM(B8:E8)</f>
        <v>60991466.204737</v>
      </c>
    </row>
    <row r="9" customFormat="false" ht="15" hidden="false" customHeight="false" outlineLevel="0" collapsed="false">
      <c r="A9" s="5" t="s">
        <v>209</v>
      </c>
      <c r="B9" s="68" t="n">
        <f aca="false">'A. Full Cap'!O33</f>
        <v>0.802861834184313</v>
      </c>
      <c r="C9" s="68" t="n">
        <f aca="false">'B. Two-Sided'!O33</f>
        <v>0.903684725988529</v>
      </c>
      <c r="D9" s="68" t="n">
        <f aca="false">'C. Upside'!O33</f>
        <v>0.969879632167189</v>
      </c>
      <c r="E9" s="68" t="n">
        <f aca="false">'D. REACH'!O33</f>
        <v>0.956358947144825</v>
      </c>
    </row>
    <row r="10" customFormat="false" ht="15" hidden="false" customHeight="false" outlineLevel="0" collapsed="false">
      <c r="A10" s="5" t="s">
        <v>210</v>
      </c>
      <c r="B10" s="58" t="n">
        <f aca="false">'A. Full Cap'!O32</f>
        <v>6101695.56189154</v>
      </c>
      <c r="C10" s="58" t="n">
        <f aca="false">'B. Two-Sided'!O32</f>
        <v>228807.632610575</v>
      </c>
      <c r="D10" s="58" t="n">
        <f aca="false">'C. Upside'!O32</f>
        <v>159323.944103287</v>
      </c>
      <c r="E10" s="58" t="n">
        <f aca="false">'D. REACH'!O32</f>
        <v>243980.987029528</v>
      </c>
      <c r="F10" s="59" t="n">
        <f aca="false">SUM(B10:E10)</f>
        <v>6733808.12563493</v>
      </c>
    </row>
    <row r="11" customFormat="false" ht="15" hidden="false" customHeight="false" outlineLevel="0" collapsed="false">
      <c r="A11" s="5" t="s">
        <v>143</v>
      </c>
      <c r="B11" s="58" t="n">
        <f aca="false">'A. Full Cap'!O34</f>
        <v>132.977143156208</v>
      </c>
      <c r="C11" s="58" t="n">
        <f aca="false">'B. Two-Sided'!O34</f>
        <v>39.8921054100671</v>
      </c>
      <c r="D11" s="58" t="n">
        <f aca="false">'C. Upside'!O34</f>
        <v>50</v>
      </c>
      <c r="E11" s="58" t="n">
        <f aca="false">'D. REACH'!O34</f>
        <v>92.8459570951809</v>
      </c>
    </row>
    <row r="12" customFormat="false" ht="15" hidden="false" customHeight="false" outlineLevel="0" collapsed="false">
      <c r="A12" s="5" t="s">
        <v>211</v>
      </c>
      <c r="B12" s="65" t="n">
        <f aca="false">Assumptions!$B$11</f>
        <v>185</v>
      </c>
      <c r="C12" s="65" t="n">
        <f aca="false">Assumptions!$B$11</f>
        <v>185</v>
      </c>
      <c r="D12" s="65" t="n">
        <f aca="false">Assumptions!$B$11</f>
        <v>185</v>
      </c>
      <c r="E12" s="65" t="n">
        <f aca="false">Assumptions!$B$11</f>
        <v>185</v>
      </c>
    </row>
    <row r="13" customFormat="false" ht="15" hidden="false" customHeight="false" outlineLevel="0" collapsed="false">
      <c r="A13" s="5" t="s">
        <v>212</v>
      </c>
      <c r="B13" s="58" t="n">
        <f aca="false">Assumptions!B46*Assumptions!$B$19</f>
        <v>342</v>
      </c>
      <c r="C13" s="58" t="n">
        <f aca="false">Assumptions!C46*Assumptions!$B$19</f>
        <v>336</v>
      </c>
      <c r="D13" s="58" t="n">
        <f aca="false">Assumptions!D46*Assumptions!$B$19</f>
        <v>318</v>
      </c>
      <c r="E13" s="58" t="n">
        <f aca="false">Assumptions!E46*Assumptions!$B$19</f>
        <v>303</v>
      </c>
    </row>
    <row r="15" customFormat="false" ht="15" hidden="false" customHeight="false" outlineLevel="0" collapsed="false">
      <c r="A15" s="14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"/>
    <col collapsed="false" customWidth="true" hidden="false" outlineLevel="0" max="14" min="3" style="0" width="10"/>
    <col collapsed="false" customWidth="true" hidden="false" outlineLevel="0" max="15" min="15" style="0" width="13"/>
  </cols>
  <sheetData>
    <row r="1" customFormat="false" ht="16.15" hidden="false" customHeight="false" outlineLevel="0" collapsed="false">
      <c r="A1" s="31" t="s">
        <v>214</v>
      </c>
    </row>
    <row r="2" customFormat="false" ht="15" hidden="false" customHeight="false" outlineLevel="0" collapsed="false">
      <c r="A2" s="14" t="s">
        <v>215</v>
      </c>
    </row>
    <row r="3" customFormat="false" ht="15" hidden="false" customHeight="false" outlineLevel="0" collapsed="false">
      <c r="C3" s="32" t="s">
        <v>104</v>
      </c>
      <c r="D3" s="32" t="s">
        <v>105</v>
      </c>
      <c r="E3" s="32" t="s">
        <v>106</v>
      </c>
      <c r="F3" s="32" t="s">
        <v>107</v>
      </c>
      <c r="G3" s="32" t="s">
        <v>108</v>
      </c>
      <c r="H3" s="32" t="s">
        <v>109</v>
      </c>
      <c r="I3" s="32" t="s">
        <v>110</v>
      </c>
      <c r="J3" s="32" t="s">
        <v>111</v>
      </c>
      <c r="K3" s="32" t="s">
        <v>112</v>
      </c>
      <c r="L3" s="32" t="s">
        <v>113</v>
      </c>
      <c r="M3" s="32" t="s">
        <v>114</v>
      </c>
      <c r="N3" s="32" t="s">
        <v>115</v>
      </c>
      <c r="O3" s="33" t="s">
        <v>98</v>
      </c>
    </row>
    <row r="5" customFormat="false" ht="15" hidden="false" customHeight="false" outlineLevel="0" collapsed="false">
      <c r="A5" s="16" t="s">
        <v>216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customFormat="false" ht="15" hidden="false" customHeight="false" outlineLevel="0" collapsed="false">
      <c r="A6" s="5" t="s">
        <v>217</v>
      </c>
      <c r="B6" s="21" t="n">
        <v>45</v>
      </c>
    </row>
    <row r="7" customFormat="false" ht="15" hidden="false" customHeight="false" outlineLevel="0" collapsed="false">
      <c r="A7" s="5" t="s">
        <v>218</v>
      </c>
      <c r="B7" s="18" t="n">
        <v>9</v>
      </c>
    </row>
    <row r="9" customFormat="false" ht="15" hidden="false" customHeight="false" outlineLevel="0" collapsed="false">
      <c r="A9" s="16" t="s">
        <v>219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customFormat="false" ht="15" hidden="false" customHeight="false" outlineLevel="0" collapsed="false">
      <c r="A10" s="5" t="s">
        <v>220</v>
      </c>
      <c r="C10" s="47" t="n">
        <f aca="false">'A. Full Cap'!C15</f>
        <v>4759261.92</v>
      </c>
      <c r="D10" s="47" t="n">
        <f aca="false">'A. Full Cap'!D15</f>
        <v>4806854.5392</v>
      </c>
      <c r="E10" s="47" t="n">
        <f aca="false">'A. Full Cap'!E15</f>
        <v>4854923.084592</v>
      </c>
      <c r="F10" s="47" t="n">
        <f aca="false">'A. Full Cap'!F15</f>
        <v>4903472.31543792</v>
      </c>
      <c r="G10" s="47" t="n">
        <f aca="false">'A. Full Cap'!G15</f>
        <v>4952507.0385923</v>
      </c>
      <c r="H10" s="47" t="n">
        <f aca="false">'A. Full Cap'!H15</f>
        <v>5002032.10897822</v>
      </c>
      <c r="I10" s="47" t="n">
        <f aca="false">'A. Full Cap'!I15</f>
        <v>5052052.43006801</v>
      </c>
      <c r="J10" s="47" t="n">
        <f aca="false">'A. Full Cap'!J15</f>
        <v>5102572.95436869</v>
      </c>
      <c r="K10" s="47" t="n">
        <f aca="false">'A. Full Cap'!K15</f>
        <v>5153598.68391237</v>
      </c>
      <c r="L10" s="47" t="n">
        <f aca="false">'A. Full Cap'!L15</f>
        <v>5205134.6707515</v>
      </c>
      <c r="M10" s="47" t="n">
        <f aca="false">'A. Full Cap'!M15</f>
        <v>5257186.01745901</v>
      </c>
      <c r="N10" s="47" t="n">
        <f aca="false">'A. Full Cap'!N15</f>
        <v>5309757.8776336</v>
      </c>
      <c r="O10" s="38" t="n">
        <f aca="false">SUM(C10:N10)</f>
        <v>60359353.6409936</v>
      </c>
    </row>
    <row r="11" customFormat="false" ht="15" hidden="false" customHeight="false" outlineLevel="0" collapsed="false">
      <c r="A11" s="5" t="s">
        <v>176</v>
      </c>
      <c r="C11" s="47" t="n">
        <f aca="false">'A. Full Cap'!C20</f>
        <v>4371991.2</v>
      </c>
      <c r="D11" s="47" t="n">
        <f aca="false">'A. Full Cap'!D20</f>
        <v>4392988.75636364</v>
      </c>
      <c r="E11" s="47" t="n">
        <f aca="false">'A. Full Cap'!E20</f>
        <v>4413969.06473455</v>
      </c>
      <c r="F11" s="47" t="n">
        <f aca="false">'A. Full Cap'!F20</f>
        <v>4434929.68039724</v>
      </c>
      <c r="G11" s="47" t="n">
        <f aca="false">'A. Full Cap'!G20</f>
        <v>4455868.11146671</v>
      </c>
      <c r="H11" s="47" t="n">
        <f aca="false">'A. Full Cap'!H20</f>
        <v>4476781.81818953</v>
      </c>
      <c r="I11" s="47" t="n">
        <f aca="false">'A. Full Cap'!I20</f>
        <v>4497668.21223566</v>
      </c>
      <c r="J11" s="47" t="n">
        <f aca="false">'A. Full Cap'!J20</f>
        <v>4518524.65598089</v>
      </c>
      <c r="K11" s="47" t="n">
        <f aca="false">'A. Full Cap'!K20</f>
        <v>4539348.46177981</v>
      </c>
      <c r="L11" s="47" t="n">
        <f aca="false">'A. Full Cap'!L20</f>
        <v>4560136.89122911</v>
      </c>
      <c r="M11" s="47" t="n">
        <f aca="false">'A. Full Cap'!M20</f>
        <v>4580887.15442121</v>
      </c>
      <c r="N11" s="47" t="n">
        <f aca="false">'A. Full Cap'!N20</f>
        <v>4601596.40918803</v>
      </c>
      <c r="O11" s="38" t="n">
        <f aca="false">SUM(C11:N11)</f>
        <v>53844690.4159864</v>
      </c>
    </row>
    <row r="12" customFormat="false" ht="15" hidden="false" customHeight="false" outlineLevel="0" collapsed="false">
      <c r="A12" s="5" t="s">
        <v>137</v>
      </c>
      <c r="C12" s="47" t="n">
        <f aca="false">'A. Full Cap'!C27</f>
        <v>126630</v>
      </c>
      <c r="D12" s="47" t="n">
        <f aca="false">'A. Full Cap'!D27</f>
        <v>127896.3</v>
      </c>
      <c r="E12" s="47" t="n">
        <f aca="false">'A. Full Cap'!E27</f>
        <v>129175.263</v>
      </c>
      <c r="F12" s="47" t="n">
        <f aca="false">'A. Full Cap'!F27</f>
        <v>130467.01563</v>
      </c>
      <c r="G12" s="47" t="n">
        <f aca="false">'A. Full Cap'!G27</f>
        <v>131771.6857863</v>
      </c>
      <c r="H12" s="47" t="n">
        <f aca="false">'A. Full Cap'!H27</f>
        <v>133089.402644163</v>
      </c>
      <c r="I12" s="47" t="n">
        <f aca="false">'A. Full Cap'!I27</f>
        <v>134420.296670605</v>
      </c>
      <c r="J12" s="47" t="n">
        <f aca="false">'A. Full Cap'!J27</f>
        <v>135764.499637311</v>
      </c>
      <c r="K12" s="47" t="n">
        <f aca="false">'A. Full Cap'!K27</f>
        <v>137122.144633684</v>
      </c>
      <c r="L12" s="47" t="n">
        <f aca="false">'A. Full Cap'!L27</f>
        <v>138493.366080021</v>
      </c>
      <c r="M12" s="47" t="n">
        <f aca="false">'A. Full Cap'!M27</f>
        <v>139878.299740821</v>
      </c>
      <c r="N12" s="47" t="n">
        <f aca="false">'A. Full Cap'!N27</f>
        <v>141277.082738229</v>
      </c>
      <c r="O12" s="38" t="n">
        <f aca="false">SUM(C12:N12)</f>
        <v>1605985.35656113</v>
      </c>
    </row>
    <row r="13" customFormat="false" ht="15" hidden="false" customHeight="false" outlineLevel="0" collapsed="false">
      <c r="A13" s="5" t="s">
        <v>138</v>
      </c>
      <c r="C13" s="47" t="n">
        <f aca="false">-'A. Full Cap'!C28</f>
        <v>94068</v>
      </c>
      <c r="D13" s="47" t="n">
        <f aca="false">-'A. Full Cap'!D28</f>
        <v>95008.68</v>
      </c>
      <c r="E13" s="47" t="n">
        <f aca="false">-'A. Full Cap'!E28</f>
        <v>95958.7668</v>
      </c>
      <c r="F13" s="47" t="n">
        <f aca="false">-'A. Full Cap'!F28</f>
        <v>96918.354468</v>
      </c>
      <c r="G13" s="47" t="n">
        <f aca="false">-'A. Full Cap'!G28</f>
        <v>97887.53801268</v>
      </c>
      <c r="H13" s="47" t="n">
        <f aca="false">-'A. Full Cap'!H28</f>
        <v>98866.4133928068</v>
      </c>
      <c r="I13" s="47" t="n">
        <f aca="false">-'A. Full Cap'!I28</f>
        <v>99855.0775267349</v>
      </c>
      <c r="J13" s="47" t="n">
        <f aca="false">-'A. Full Cap'!J28</f>
        <v>100853.628302002</v>
      </c>
      <c r="K13" s="47" t="n">
        <f aca="false">-'A. Full Cap'!K28</f>
        <v>101862.164585022</v>
      </c>
      <c r="L13" s="47" t="n">
        <f aca="false">-'A. Full Cap'!L28</f>
        <v>102880.786230872</v>
      </c>
      <c r="M13" s="47" t="n">
        <f aca="false">-'A. Full Cap'!M28</f>
        <v>103909.594093181</v>
      </c>
      <c r="N13" s="47" t="n">
        <f aca="false">-'A. Full Cap'!N28</f>
        <v>104948.690034113</v>
      </c>
      <c r="O13" s="38" t="n">
        <f aca="false">SUM(C13:N13)</f>
        <v>1193017.69344541</v>
      </c>
    </row>
    <row r="14" customFormat="false" ht="15" hidden="false" customHeight="false" outlineLevel="0" collapsed="false">
      <c r="A14" s="43" t="s">
        <v>221</v>
      </c>
      <c r="C14" s="44" t="n">
        <f aca="false">C10-C11-C12+C13</f>
        <v>354708.720000001</v>
      </c>
      <c r="D14" s="44" t="n">
        <f aca="false">D10-D11-D12+D13</f>
        <v>380978.162836364</v>
      </c>
      <c r="E14" s="44" t="n">
        <f aca="false">E10-E11-E12+E13</f>
        <v>407737.523657456</v>
      </c>
      <c r="F14" s="44" t="n">
        <f aca="false">F10-F11-F12+F13</f>
        <v>434993.973878686</v>
      </c>
      <c r="G14" s="44" t="n">
        <f aca="false">G10-G11-G12+G13</f>
        <v>462754.779351973</v>
      </c>
      <c r="H14" s="44" t="n">
        <f aca="false">H10-H11-H12+H13</f>
        <v>491027.301537339</v>
      </c>
      <c r="I14" s="44" t="n">
        <f aca="false">I10-I11-I12+I13</f>
        <v>519818.998688477</v>
      </c>
      <c r="J14" s="44" t="n">
        <f aca="false">J10-J11-J12+J13</f>
        <v>549137.427052483</v>
      </c>
      <c r="K14" s="44" t="n">
        <f aca="false">K10-K11-K12+K13</f>
        <v>578990.242083902</v>
      </c>
      <c r="L14" s="44" t="n">
        <f aca="false">L10-L11-L12+L13</f>
        <v>609385.199673244</v>
      </c>
      <c r="M14" s="44" t="n">
        <f aca="false">M10-M11-M12+M13</f>
        <v>640330.157390164</v>
      </c>
      <c r="N14" s="44" t="n">
        <f aca="false">N10-N11-N12+N13</f>
        <v>671833.075741454</v>
      </c>
      <c r="O14" s="44" t="n">
        <f aca="false">SUM(C14:N14)</f>
        <v>6101695.56189154</v>
      </c>
    </row>
    <row r="16" customFormat="false" ht="15" hidden="false" customHeight="false" outlineLevel="0" collapsed="false">
      <c r="A16" s="16" t="s">
        <v>222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customFormat="false" ht="15" hidden="false" customHeight="false" outlineLevel="0" collapsed="false">
      <c r="A17" s="5" t="s">
        <v>223</v>
      </c>
      <c r="C17" s="38" t="n">
        <f aca="false">C10</f>
        <v>4759261.92</v>
      </c>
      <c r="D17" s="38" t="n">
        <f aca="false">D10</f>
        <v>4806854.5392</v>
      </c>
      <c r="E17" s="38" t="n">
        <f aca="false">E10</f>
        <v>4854923.084592</v>
      </c>
      <c r="F17" s="38" t="n">
        <f aca="false">F10</f>
        <v>4903472.31543792</v>
      </c>
      <c r="G17" s="38" t="n">
        <f aca="false">G10</f>
        <v>4952507.0385923</v>
      </c>
      <c r="H17" s="38" t="n">
        <f aca="false">H10</f>
        <v>5002032.10897822</v>
      </c>
      <c r="I17" s="38" t="n">
        <f aca="false">I10</f>
        <v>5052052.43006801</v>
      </c>
      <c r="J17" s="38" t="n">
        <f aca="false">J10</f>
        <v>5102572.95436869</v>
      </c>
      <c r="K17" s="38" t="n">
        <f aca="false">K10</f>
        <v>5153598.68391237</v>
      </c>
      <c r="L17" s="38" t="n">
        <f aca="false">L10</f>
        <v>5205134.6707515</v>
      </c>
      <c r="M17" s="38" t="n">
        <f aca="false">M10</f>
        <v>5257186.01745901</v>
      </c>
      <c r="N17" s="38" t="n">
        <f aca="false">N10</f>
        <v>5309757.8776336</v>
      </c>
      <c r="O17" s="38" t="n">
        <f aca="false">SUM(C17:N17)</f>
        <v>60359353.6409936</v>
      </c>
    </row>
    <row r="18" customFormat="false" ht="15" hidden="false" customHeight="false" outlineLevel="0" collapsed="false">
      <c r="A18" s="5" t="s">
        <v>224</v>
      </c>
      <c r="C18" s="38" t="n">
        <f aca="false">0</f>
        <v>0</v>
      </c>
      <c r="D18" s="38" t="n">
        <f aca="false">0</f>
        <v>0</v>
      </c>
      <c r="E18" s="38" t="n">
        <f aca="false">-C11</f>
        <v>-4371991.2</v>
      </c>
      <c r="F18" s="38" t="n">
        <f aca="false">-D11</f>
        <v>-4392988.75636364</v>
      </c>
      <c r="G18" s="38" t="n">
        <f aca="false">-E11</f>
        <v>-4413969.06473455</v>
      </c>
      <c r="H18" s="38" t="n">
        <f aca="false">-F11</f>
        <v>-4434929.68039724</v>
      </c>
      <c r="I18" s="38" t="n">
        <f aca="false">-G11</f>
        <v>-4455868.11146671</v>
      </c>
      <c r="J18" s="38" t="n">
        <f aca="false">-H11</f>
        <v>-4476781.81818953</v>
      </c>
      <c r="K18" s="38" t="n">
        <f aca="false">-I11</f>
        <v>-4497668.21223566</v>
      </c>
      <c r="L18" s="38" t="n">
        <f aca="false">-J11</f>
        <v>-4518524.65598089</v>
      </c>
      <c r="M18" s="38" t="n">
        <f aca="false">-K11</f>
        <v>-4539348.46177981</v>
      </c>
      <c r="N18" s="38" t="n">
        <f aca="false">-L11</f>
        <v>-4560136.89122911</v>
      </c>
      <c r="O18" s="38" t="n">
        <f aca="false">SUM(C18:N18)</f>
        <v>-44662206.8523771</v>
      </c>
    </row>
    <row r="19" customFormat="false" ht="15" hidden="false" customHeight="false" outlineLevel="0" collapsed="false">
      <c r="A19" s="5" t="s">
        <v>225</v>
      </c>
      <c r="C19" s="38" t="n">
        <f aca="false">-C12+C13</f>
        <v>-32562</v>
      </c>
      <c r="D19" s="38" t="n">
        <f aca="false">-D12+D13</f>
        <v>-32887.62</v>
      </c>
      <c r="E19" s="38" t="n">
        <f aca="false">-E12+E13</f>
        <v>-33216.4962</v>
      </c>
      <c r="F19" s="38" t="n">
        <f aca="false">-F12+F13</f>
        <v>-33548.661162</v>
      </c>
      <c r="G19" s="38" t="n">
        <f aca="false">-G12+G13</f>
        <v>-33884.14777362</v>
      </c>
      <c r="H19" s="38" t="n">
        <f aca="false">-H12+H13</f>
        <v>-34222.9892513562</v>
      </c>
      <c r="I19" s="38" t="n">
        <f aca="false">-I12+I13</f>
        <v>-34565.2191438698</v>
      </c>
      <c r="J19" s="38" t="n">
        <f aca="false">-J12+J13</f>
        <v>-34910.8713353085</v>
      </c>
      <c r="K19" s="38" t="n">
        <f aca="false">-K12+K13</f>
        <v>-35259.9800486616</v>
      </c>
      <c r="L19" s="38" t="n">
        <f aca="false">-L12+L13</f>
        <v>-35612.5798491482</v>
      </c>
      <c r="M19" s="38" t="n">
        <f aca="false">-M12+M13</f>
        <v>-35968.7056476396</v>
      </c>
      <c r="N19" s="38" t="n">
        <f aca="false">-N12+N13</f>
        <v>-36328.3927041161</v>
      </c>
      <c r="O19" s="38" t="n">
        <f aca="false">SUM(C19:N19)</f>
        <v>-412967.66311572</v>
      </c>
    </row>
    <row r="20" customFormat="false" ht="15" hidden="false" customHeight="false" outlineLevel="0" collapsed="false">
      <c r="A20" s="10" t="s">
        <v>226</v>
      </c>
      <c r="C20" s="39" t="n">
        <f aca="false">C17+C18+C19</f>
        <v>4726699.92</v>
      </c>
      <c r="D20" s="39" t="n">
        <f aca="false">D17+D18+D19</f>
        <v>4773966.9192</v>
      </c>
      <c r="E20" s="39" t="n">
        <f aca="false">E17+E18+E19</f>
        <v>449715.388392001</v>
      </c>
      <c r="F20" s="39" t="n">
        <f aca="false">F17+F18+F19</f>
        <v>476934.897912285</v>
      </c>
      <c r="G20" s="39" t="n">
        <f aca="false">G17+G18+G19</f>
        <v>504653.826084136</v>
      </c>
      <c r="H20" s="39" t="n">
        <f aca="false">H17+H18+H19</f>
        <v>532879.439329631</v>
      </c>
      <c r="I20" s="39" t="n">
        <f aca="false">I17+I18+I19</f>
        <v>561619.099457428</v>
      </c>
      <c r="J20" s="39" t="n">
        <f aca="false">J17+J18+J19</f>
        <v>590880.264843849</v>
      </c>
      <c r="K20" s="39" t="n">
        <f aca="false">K17+K18+K19</f>
        <v>620670.491628052</v>
      </c>
      <c r="L20" s="39" t="n">
        <f aca="false">L17+L18+L19</f>
        <v>650997.434921456</v>
      </c>
      <c r="M20" s="39" t="n">
        <f aca="false">M17+M18+M19</f>
        <v>681868.850031562</v>
      </c>
      <c r="N20" s="39" t="n">
        <f aca="false">N17+N18+N19</f>
        <v>713292.59370038</v>
      </c>
      <c r="O20" s="39" t="n">
        <f aca="false">SUM(C20:N20)</f>
        <v>15284179.1255008</v>
      </c>
    </row>
    <row r="21" customFormat="false" ht="15" hidden="false" customHeight="false" outlineLevel="0" collapsed="false">
      <c r="A21" s="10" t="s">
        <v>227</v>
      </c>
      <c r="C21" s="39" t="n">
        <f aca="false">C20</f>
        <v>4726699.92</v>
      </c>
      <c r="D21" s="39" t="n">
        <f aca="false">C21+D20</f>
        <v>9500666.8392</v>
      </c>
      <c r="E21" s="39" t="n">
        <f aca="false">D21+E20</f>
        <v>9950382.227592</v>
      </c>
      <c r="F21" s="39" t="n">
        <f aca="false">E21+F20</f>
        <v>10427317.1255043</v>
      </c>
      <c r="G21" s="39" t="n">
        <f aca="false">F21+G20</f>
        <v>10931970.9515884</v>
      </c>
      <c r="H21" s="39" t="n">
        <f aca="false">G21+H20</f>
        <v>11464850.3909181</v>
      </c>
      <c r="I21" s="39" t="n">
        <f aca="false">H21+I20</f>
        <v>12026469.4903755</v>
      </c>
      <c r="J21" s="39" t="n">
        <f aca="false">I21+J20</f>
        <v>12617349.7552193</v>
      </c>
      <c r="K21" s="39" t="n">
        <f aca="false">J21+K20</f>
        <v>13238020.2468474</v>
      </c>
      <c r="L21" s="39" t="n">
        <f aca="false">K21+L20</f>
        <v>13889017.6817688</v>
      </c>
      <c r="M21" s="39" t="n">
        <f aca="false">L21+M20</f>
        <v>14570886.5318004</v>
      </c>
      <c r="N21" s="39" t="n">
        <f aca="false">M21+N20</f>
        <v>15284179.1255008</v>
      </c>
      <c r="O21" s="39" t="n">
        <f aca="false">N21</f>
        <v>15284179.1255008</v>
      </c>
    </row>
    <row r="22" customFormat="false" ht="15" hidden="false" customHeight="false" outlineLevel="0" collapsed="false">
      <c r="A22" s="69" t="s">
        <v>228</v>
      </c>
      <c r="C22" s="70" t="n">
        <f aca="false">C11+C18</f>
        <v>4371991.2</v>
      </c>
      <c r="D22" s="70" t="n">
        <f aca="false">C22+D11+D18</f>
        <v>8764979.95636364</v>
      </c>
      <c r="E22" s="70" t="n">
        <f aca="false">D22+E11+E18</f>
        <v>8806957.82109818</v>
      </c>
      <c r="F22" s="70" t="n">
        <f aca="false">E22+F11+F18</f>
        <v>8848898.74513178</v>
      </c>
      <c r="G22" s="70" t="n">
        <f aca="false">F22+G11+G18</f>
        <v>8890797.79186395</v>
      </c>
      <c r="H22" s="70" t="n">
        <f aca="false">G22+H11+H18</f>
        <v>8932649.92965624</v>
      </c>
      <c r="I22" s="70" t="n">
        <f aca="false">H22+I11+I18</f>
        <v>8974450.03042519</v>
      </c>
      <c r="J22" s="70" t="n">
        <f aca="false">I22+J11+J18</f>
        <v>9016192.86821656</v>
      </c>
      <c r="K22" s="70" t="n">
        <f aca="false">J22+K11+K18</f>
        <v>9057873.11776071</v>
      </c>
      <c r="L22" s="70" t="n">
        <f aca="false">K22+L11+L18</f>
        <v>9099485.35300892</v>
      </c>
      <c r="M22" s="70" t="n">
        <f aca="false">L22+M11+M18</f>
        <v>9141024.04565032</v>
      </c>
      <c r="N22" s="70" t="n">
        <f aca="false">M22+N11+N18</f>
        <v>9182483.56360924</v>
      </c>
      <c r="O22" s="70" t="n">
        <f aca="false">N22</f>
        <v>9182483.56360924</v>
      </c>
    </row>
    <row r="24" customFormat="false" ht="15" hidden="false" customHeight="false" outlineLevel="0" collapsed="false">
      <c r="A24" s="16" t="s">
        <v>229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customFormat="false" ht="15" hidden="false" customHeight="false" outlineLevel="0" collapsed="false">
      <c r="A25" s="5" t="s">
        <v>230</v>
      </c>
      <c r="C25" s="47" t="n">
        <f aca="false">'A. Full Cap'!C6*$B$6</f>
        <v>162810</v>
      </c>
      <c r="D25" s="47" t="n">
        <f aca="false">'A. Full Cap'!D6*$B$6</f>
        <v>164438.1</v>
      </c>
      <c r="E25" s="47" t="n">
        <f aca="false">'A. Full Cap'!E6*$B$6</f>
        <v>166082.481</v>
      </c>
      <c r="F25" s="47" t="n">
        <f aca="false">'A. Full Cap'!F6*$B$6</f>
        <v>167743.30581</v>
      </c>
      <c r="G25" s="47" t="n">
        <f aca="false">'A. Full Cap'!G6*$B$6</f>
        <v>169420.7388681</v>
      </c>
      <c r="H25" s="47" t="n">
        <f aca="false">'A. Full Cap'!H6*$B$6</f>
        <v>171114.946256781</v>
      </c>
      <c r="I25" s="47" t="n">
        <f aca="false">'A. Full Cap'!I6*$B$6</f>
        <v>172826.095719349</v>
      </c>
      <c r="J25" s="47" t="n">
        <f aca="false">'A. Full Cap'!J6*$B$6</f>
        <v>174554.356676542</v>
      </c>
      <c r="K25" s="47" t="n">
        <f aca="false">'A. Full Cap'!K6*$B$6</f>
        <v>176299.900243308</v>
      </c>
      <c r="L25" s="47" t="n">
        <f aca="false">'A. Full Cap'!L6*$B$6</f>
        <v>178062.899245741</v>
      </c>
      <c r="M25" s="47" t="n">
        <f aca="false">'A. Full Cap'!M6*$B$6</f>
        <v>179843.528238198</v>
      </c>
      <c r="N25" s="47" t="n">
        <f aca="false">'A. Full Cap'!N6*$B$6</f>
        <v>181641.96352058</v>
      </c>
      <c r="O25" s="38" t="n">
        <f aca="false">SUM(C25:N25)</f>
        <v>2064838.3155786</v>
      </c>
    </row>
    <row r="26" customFormat="false" ht="15" hidden="false" customHeight="false" outlineLevel="0" collapsed="false">
      <c r="A26" s="5" t="s">
        <v>231</v>
      </c>
      <c r="C26" s="53" t="n">
        <v>0</v>
      </c>
      <c r="D26" s="53" t="n">
        <v>0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53" t="n">
        <v>0</v>
      </c>
      <c r="K26" s="53" t="n">
        <v>0</v>
      </c>
      <c r="L26" s="53" t="n">
        <v>0</v>
      </c>
      <c r="M26" s="53" t="n">
        <v>0</v>
      </c>
      <c r="N26" s="53" t="n">
        <v>0</v>
      </c>
      <c r="O26" s="38" t="n">
        <f aca="false">SUM(C26:N26)</f>
        <v>0</v>
      </c>
    </row>
    <row r="27" customFormat="false" ht="15" hidden="false" customHeight="false" outlineLevel="0" collapsed="false">
      <c r="A27" s="5" t="s">
        <v>232</v>
      </c>
      <c r="C27" s="53" t="n">
        <v>0</v>
      </c>
      <c r="D27" s="53" t="n">
        <v>0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53" t="n">
        <v>0</v>
      </c>
      <c r="K27" s="53" t="n">
        <v>0</v>
      </c>
      <c r="L27" s="53" t="n">
        <v>0</v>
      </c>
      <c r="M27" s="53" t="n">
        <v>0</v>
      </c>
      <c r="N27" s="53" t="n">
        <v>0</v>
      </c>
      <c r="O27" s="38" t="n">
        <f aca="false">SUM(C27:N27)</f>
        <v>0</v>
      </c>
    </row>
    <row r="28" customFormat="false" ht="15" hidden="false" customHeight="false" outlineLevel="0" collapsed="false">
      <c r="A28" s="10" t="s">
        <v>226</v>
      </c>
      <c r="C28" s="39" t="n">
        <f aca="false">C25+C26-C27</f>
        <v>162810</v>
      </c>
      <c r="D28" s="39" t="n">
        <f aca="false">D25+D26-D27</f>
        <v>164438.1</v>
      </c>
      <c r="E28" s="39" t="n">
        <f aca="false">E25+E26-E27</f>
        <v>166082.481</v>
      </c>
      <c r="F28" s="39" t="n">
        <f aca="false">F25+F26-F27</f>
        <v>167743.30581</v>
      </c>
      <c r="G28" s="39" t="n">
        <f aca="false">G25+G26-G27</f>
        <v>169420.7388681</v>
      </c>
      <c r="H28" s="39" t="n">
        <f aca="false">H25+H26-H27</f>
        <v>171114.946256781</v>
      </c>
      <c r="I28" s="39" t="n">
        <f aca="false">I25+I26-I27</f>
        <v>172826.095719349</v>
      </c>
      <c r="J28" s="39" t="n">
        <f aca="false">J25+J26-J27</f>
        <v>174554.356676542</v>
      </c>
      <c r="K28" s="39" t="n">
        <f aca="false">K25+K26-K27</f>
        <v>176299.900243308</v>
      </c>
      <c r="L28" s="39" t="n">
        <f aca="false">L25+L26-L27</f>
        <v>178062.899245741</v>
      </c>
      <c r="M28" s="39" t="n">
        <f aca="false">M25+M26-M27</f>
        <v>179843.528238198</v>
      </c>
      <c r="N28" s="39" t="n">
        <f aca="false">N25+N26-N27</f>
        <v>181641.96352058</v>
      </c>
      <c r="O28" s="39" t="n">
        <f aca="false">SUM(C28:N28)</f>
        <v>2064838.3155786</v>
      </c>
    </row>
    <row r="29" customFormat="false" ht="15" hidden="false" customHeight="false" outlineLevel="0" collapsed="false">
      <c r="A29" s="10" t="s">
        <v>227</v>
      </c>
      <c r="C29" s="39" t="n">
        <f aca="false">C28</f>
        <v>162810</v>
      </c>
      <c r="D29" s="39" t="n">
        <f aca="false">C29+D28</f>
        <v>327248.1</v>
      </c>
      <c r="E29" s="39" t="n">
        <f aca="false">D29+E28</f>
        <v>493330.581</v>
      </c>
      <c r="F29" s="39" t="n">
        <f aca="false">E29+F28</f>
        <v>661073.88681</v>
      </c>
      <c r="G29" s="39" t="n">
        <f aca="false">F29+G28</f>
        <v>830494.6256781</v>
      </c>
      <c r="H29" s="39" t="n">
        <f aca="false">G29+H28</f>
        <v>1001609.57193488</v>
      </c>
      <c r="I29" s="39" t="n">
        <f aca="false">H29+I28</f>
        <v>1174435.66765423</v>
      </c>
      <c r="J29" s="39" t="n">
        <f aca="false">I29+J28</f>
        <v>1348990.02433077</v>
      </c>
      <c r="K29" s="39" t="n">
        <f aca="false">J29+K28</f>
        <v>1525289.92457408</v>
      </c>
      <c r="L29" s="39" t="n">
        <f aca="false">K29+L28</f>
        <v>1703352.82381982</v>
      </c>
      <c r="M29" s="39" t="n">
        <f aca="false">L29+M28</f>
        <v>1883196.35205802</v>
      </c>
      <c r="N29" s="39" t="n">
        <f aca="false">M29+N28</f>
        <v>2064838.3155786</v>
      </c>
      <c r="O29" s="39" t="n">
        <f aca="false">N29</f>
        <v>2064838.3155786</v>
      </c>
    </row>
    <row r="30" customFormat="false" ht="15" hidden="false" customHeight="false" outlineLevel="0" collapsed="false">
      <c r="A30" s="69" t="s">
        <v>233</v>
      </c>
      <c r="C30" s="70" t="n">
        <f aca="false">C14-C25</f>
        <v>191898.720000001</v>
      </c>
      <c r="D30" s="70" t="n">
        <f aca="false">C30+D14-D25</f>
        <v>408438.782836364</v>
      </c>
      <c r="E30" s="70" t="n">
        <f aca="false">D30+E14-E25</f>
        <v>650093.82549382</v>
      </c>
      <c r="F30" s="70" t="n">
        <f aca="false">E30+F14-F25</f>
        <v>917344.493562506</v>
      </c>
      <c r="G30" s="70" t="n">
        <f aca="false">F30+G14-G25</f>
        <v>1210678.53404638</v>
      </c>
      <c r="H30" s="70" t="n">
        <f aca="false">G30+H14-H25</f>
        <v>1530590.88932694</v>
      </c>
      <c r="I30" s="70" t="n">
        <f aca="false">H30+I14-I25</f>
        <v>1877583.79229606</v>
      </c>
      <c r="J30" s="70" t="n">
        <f aca="false">I30+J14-J25</f>
        <v>2252166.86267201</v>
      </c>
      <c r="K30" s="70" t="n">
        <f aca="false">J30+K14-K25</f>
        <v>2654857.2045126</v>
      </c>
      <c r="L30" s="70" t="n">
        <f aca="false">K30+L14-L25</f>
        <v>3086179.5049401</v>
      </c>
      <c r="M30" s="70" t="n">
        <f aca="false">L30+M14-M25</f>
        <v>3546666.13409207</v>
      </c>
      <c r="N30" s="70" t="n">
        <f aca="false">M30+N14-N25</f>
        <v>4036857.24631294</v>
      </c>
      <c r="O30" s="70" t="n">
        <f aca="false">N30</f>
        <v>4036857.24631294</v>
      </c>
    </row>
    <row r="32" customFormat="false" ht="15" hidden="false" customHeight="false" outlineLevel="0" collapsed="false">
      <c r="A32" s="16" t="s">
        <v>234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customFormat="false" ht="15" hidden="false" customHeight="false" outlineLevel="0" collapsed="false">
      <c r="A33" s="5" t="s">
        <v>235</v>
      </c>
      <c r="C33" s="38" t="n">
        <f aca="false">C14</f>
        <v>354708.720000001</v>
      </c>
      <c r="D33" s="38" t="n">
        <f aca="false">C33+D14</f>
        <v>735686.882836364</v>
      </c>
      <c r="E33" s="38" t="n">
        <f aca="false">D33+E14</f>
        <v>1143424.40649382</v>
      </c>
      <c r="F33" s="38" t="n">
        <f aca="false">E33+F14</f>
        <v>1578418.38037251</v>
      </c>
      <c r="G33" s="38" t="n">
        <f aca="false">F33+G14</f>
        <v>2041173.15972448</v>
      </c>
      <c r="H33" s="38" t="n">
        <f aca="false">G33+H14</f>
        <v>2532200.46126182</v>
      </c>
      <c r="I33" s="38" t="n">
        <f aca="false">H33+I14</f>
        <v>3052019.45995029</v>
      </c>
      <c r="J33" s="38" t="n">
        <f aca="false">I33+J14</f>
        <v>3601156.88700278</v>
      </c>
      <c r="K33" s="38" t="n">
        <f aca="false">J33+K14</f>
        <v>4180147.12908668</v>
      </c>
      <c r="L33" s="38" t="n">
        <f aca="false">K33+L14</f>
        <v>4789532.32875992</v>
      </c>
      <c r="M33" s="38" t="n">
        <f aca="false">L33+M14</f>
        <v>5429862.48615009</v>
      </c>
      <c r="N33" s="38" t="n">
        <f aca="false">M33+N14</f>
        <v>6101695.56189154</v>
      </c>
      <c r="O33" s="38" t="n">
        <f aca="false">N33</f>
        <v>6101695.56189154</v>
      </c>
    </row>
    <row r="34" customFormat="false" ht="15" hidden="false" customHeight="false" outlineLevel="0" collapsed="false">
      <c r="A34" s="5" t="s">
        <v>236</v>
      </c>
      <c r="C34" s="38" t="n">
        <f aca="false">C21-C22</f>
        <v>354708.720000001</v>
      </c>
      <c r="D34" s="38" t="n">
        <f aca="false">D21-D22</f>
        <v>735686.882836364</v>
      </c>
      <c r="E34" s="38" t="n">
        <f aca="false">E21-E22</f>
        <v>1143424.40649382</v>
      </c>
      <c r="F34" s="38" t="n">
        <f aca="false">F21-F22</f>
        <v>1578418.38037251</v>
      </c>
      <c r="G34" s="38" t="n">
        <f aca="false">G21-G22</f>
        <v>2041173.15972448</v>
      </c>
      <c r="H34" s="38" t="n">
        <f aca="false">H21-H22</f>
        <v>2532200.46126182</v>
      </c>
      <c r="I34" s="38" t="n">
        <f aca="false">I21-I22</f>
        <v>3052019.45995029</v>
      </c>
      <c r="J34" s="38" t="n">
        <f aca="false">J21-J22</f>
        <v>3601156.88700278</v>
      </c>
      <c r="K34" s="38" t="n">
        <f aca="false">K21-K22</f>
        <v>4180147.12908668</v>
      </c>
      <c r="L34" s="38" t="n">
        <f aca="false">L21-L22</f>
        <v>4789532.32875992</v>
      </c>
      <c r="M34" s="38" t="n">
        <f aca="false">M21-M22</f>
        <v>5429862.48615009</v>
      </c>
      <c r="N34" s="38" t="n">
        <f aca="false">N21-N22</f>
        <v>6101695.56189154</v>
      </c>
      <c r="O34" s="38" t="n">
        <f aca="false">N34</f>
        <v>6101695.56189154</v>
      </c>
    </row>
    <row r="35" customFormat="false" ht="15" hidden="false" customHeight="false" outlineLevel="0" collapsed="false">
      <c r="A35" s="5" t="s">
        <v>237</v>
      </c>
      <c r="C35" s="38" t="n">
        <f aca="false">C29+C30</f>
        <v>354708.720000001</v>
      </c>
      <c r="D35" s="38" t="n">
        <f aca="false">D29+D30</f>
        <v>735686.882836364</v>
      </c>
      <c r="E35" s="38" t="n">
        <f aca="false">E29+E30</f>
        <v>1143424.40649382</v>
      </c>
      <c r="F35" s="38" t="n">
        <f aca="false">F29+F30</f>
        <v>1578418.38037251</v>
      </c>
      <c r="G35" s="38" t="n">
        <f aca="false">G29+G30</f>
        <v>2041173.15972448</v>
      </c>
      <c r="H35" s="38" t="n">
        <f aca="false">H29+H30</f>
        <v>2532200.46126182</v>
      </c>
      <c r="I35" s="38" t="n">
        <f aca="false">I29+I30</f>
        <v>3052019.45995029</v>
      </c>
      <c r="J35" s="38" t="n">
        <f aca="false">J29+J30</f>
        <v>3601156.88700278</v>
      </c>
      <c r="K35" s="38" t="n">
        <f aca="false">K29+K30</f>
        <v>4180147.12908668</v>
      </c>
      <c r="L35" s="38" t="n">
        <f aca="false">L29+L30</f>
        <v>4789532.32875992</v>
      </c>
      <c r="M35" s="38" t="n">
        <f aca="false">M29+M30</f>
        <v>5429862.48615009</v>
      </c>
      <c r="N35" s="38" t="n">
        <f aca="false">N29+N30</f>
        <v>6101695.56189154</v>
      </c>
      <c r="O35" s="38" t="n">
        <f aca="false">N35</f>
        <v>6101695.56189154</v>
      </c>
    </row>
    <row r="37" customFormat="false" ht="15" hidden="false" customHeight="false" outlineLevel="0" collapsed="false">
      <c r="A37" s="16" t="s">
        <v>238</v>
      </c>
      <c r="B37" s="17"/>
      <c r="C37" s="17"/>
      <c r="D37" s="17"/>
      <c r="E37" s="17"/>
    </row>
    <row r="38" customFormat="false" ht="15" hidden="false" customHeight="false" outlineLevel="0" collapsed="false">
      <c r="A38" s="9" t="s">
        <v>239</v>
      </c>
    </row>
    <row r="39" customFormat="false" ht="15" hidden="false" customHeight="false" outlineLevel="0" collapsed="false">
      <c r="A39" s="9" t="s">
        <v>240</v>
      </c>
    </row>
    <row r="40" customFormat="false" ht="15" hidden="false" customHeight="false" outlineLevel="0" collapsed="false">
      <c r="A40" s="9" t="s">
        <v>241</v>
      </c>
    </row>
    <row r="41" customFormat="false" ht="15" hidden="false" customHeight="false" outlineLevel="0" collapsed="false">
      <c r="A41" s="9" t="s">
        <v>242</v>
      </c>
    </row>
    <row r="42" customFormat="false" ht="15" hidden="false" customHeight="false" outlineLevel="0" collapsed="false">
      <c r="A42" s="9" t="s">
        <v>243</v>
      </c>
    </row>
    <row r="43" customFormat="false" ht="15" hidden="false" customHeight="false" outlineLevel="0" collapsed="false">
      <c r="A43" s="9" t="s">
        <v>244</v>
      </c>
    </row>
    <row r="44" customFormat="false" ht="15" hidden="false" customHeight="false" outlineLevel="0" collapsed="false">
      <c r="A44" s="9" t="s">
        <v>245</v>
      </c>
    </row>
    <row r="45" customFormat="false" ht="15" hidden="false" customHeight="false" outlineLevel="0" collapsed="false">
      <c r="A45" s="9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2026-06-25T03:57:17Z</dcterms:created>
  <dc:creator>openpyxl</dc:creator>
  <dc:description/>
  <dc:language>en-US</dc:language>
  <cp:lastModifiedBy/>
  <dcterms:modified xsi:type="dcterms:W3CDTF">2026-06-25T03:57:17Z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