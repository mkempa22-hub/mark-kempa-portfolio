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P&amp;L" sheetId="2" state="visible" r:id="rId4"/>
    <sheet name="KPIs &amp; Unit Economics" sheetId="3" state="visible" r:id="rId5"/>
    <sheet name="Regions" sheetId="4" state="visible" r:id="rId6"/>
    <sheet name="Labor Model" sheetId="5" state="visible" r:id="rId7"/>
    <sheet name="Financing &amp; Runway" sheetId="6" state="visible" r:id="rId8"/>
    <sheet name="Variance Narrative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<sst xmlns="http://schemas.openxmlformats.org/spreadsheetml/2006/main" count="303" uniqueCount="223">
  <si>
    <t xml:space="preserve">NORTHSTAR HEALTH  |  Monthly FP&amp;A Package</t>
  </si>
  <si>
    <t xml:space="preserve">Illustrative work product — May 2026</t>
  </si>
  <si>
    <t xml:space="preserve">   Prepared by Mark Kempa  ·  Demonstration of an AI-assisted FP&amp;A workflow</t>
  </si>
  <si>
    <t xml:space="preserve">What this is</t>
  </si>
  <si>
    <t xml:space="preserve">A realistic monthly close &amp; reporting package for a fictional Series B multi-site healthcare provider. Figures are illustrative, not from any real company.</t>
  </si>
  <si>
    <t xml:space="preserve">How AI was used</t>
  </si>
  <si>
    <t xml:space="preserve">Claude helped (1) structure the model and regional build, (2) draft the variance narrative from the data, and (3) build the financing / Series B-timing logic. A human reviews every number and sentence before it reaches leadership.</t>
  </si>
  <si>
    <t xml:space="preserve">Tabs</t>
  </si>
  <si>
    <t xml:space="preserve">P&amp;L (Actual vs Budget) · KPIs &amp; Unit Economics · Regions (revenue by geography, with expansion toggles) · Labor Model (hybrid in-person + telehealth) · Financing &amp; Runway (Series B timing, equity vs. venture debt) · Variance Narrative.</t>
  </si>
  <si>
    <t xml:space="preserve">Color key</t>
  </si>
  <si>
    <t xml:space="preserve">Blue = input/assumption you can change. Black = formula. Change a blue cell and the model recalculates.</t>
  </si>
  <si>
    <t xml:space="preserve">Note</t>
  </si>
  <si>
    <t xml:space="preserve">Illustrative figures created to showcase method and output quality. $ in thousands unless noted.</t>
  </si>
  <si>
    <t xml:space="preserve">Income Statement — Actual vs. Budget  ($ in 000s)</t>
  </si>
  <si>
    <t xml:space="preserve">Northstar Health (Illustrative) · May 2026</t>
  </si>
  <si>
    <t xml:space="preserve">CURRENT MONTH (May)</t>
  </si>
  <si>
    <t xml:space="preserve">YEAR TO DATE (Jan–May)</t>
  </si>
  <si>
    <t xml:space="preserve">$ in 000s</t>
  </si>
  <si>
    <t xml:space="preserve">Actual</t>
  </si>
  <si>
    <t xml:space="preserve">Budget</t>
  </si>
  <si>
    <t xml:space="preserve">Var $</t>
  </si>
  <si>
    <t xml:space="preserve">Var %</t>
  </si>
  <si>
    <t xml:space="preserve">Revenue</t>
  </si>
  <si>
    <t xml:space="preserve">Patient service revenue</t>
  </si>
  <si>
    <t xml:space="preserve">Capitation &amp; value-based</t>
  </si>
  <si>
    <t xml:space="preserve">Other revenue</t>
  </si>
  <si>
    <t xml:space="preserve">Total revenue</t>
  </si>
  <si>
    <t xml:space="preserve">Direct costs (COGS)</t>
  </si>
  <si>
    <t xml:space="preserve">Clinical labor</t>
  </si>
  <si>
    <t xml:space="preserve">Medical supplies</t>
  </si>
  <si>
    <t xml:space="preserve">Facilities (clinical)</t>
  </si>
  <si>
    <t xml:space="preserve">Total direct costs</t>
  </si>
  <si>
    <t xml:space="preserve">Gross profit</t>
  </si>
  <si>
    <t xml:space="preserve">Gross margin %</t>
  </si>
  <si>
    <t xml:space="preserve">Operating expenses</t>
  </si>
  <si>
    <t xml:space="preserve">Sales &amp; marketing</t>
  </si>
  <si>
    <t xml:space="preserve">General &amp; administrative</t>
  </si>
  <si>
    <t xml:space="preserve">Technology &amp; R&amp;D</t>
  </si>
  <si>
    <t xml:space="preserve">Total operating expenses</t>
  </si>
  <si>
    <t xml:space="preserve">EBITDA</t>
  </si>
  <si>
    <t xml:space="preserve">EBITDA margin %</t>
  </si>
  <si>
    <t xml:space="preserve">Convention: variance = Actual − Budget. On expense lines a positive variance is an overspend (unfavorable).</t>
  </si>
  <si>
    <t xml:space="preserve">KPIs &amp; Unit Economics — May 2026</t>
  </si>
  <si>
    <t xml:space="preserve">Operational drivers (blue) feed the per-unit metrics below.</t>
  </si>
  <si>
    <t xml:space="preserve">Operating Drivers</t>
  </si>
  <si>
    <t xml:space="preserve">Metric</t>
  </si>
  <si>
    <t xml:space="preserve">Var</t>
  </si>
  <si>
    <t xml:space="preserve">AI flag</t>
  </si>
  <si>
    <t xml:space="preserve">Assumptions</t>
  </si>
  <si>
    <t xml:space="preserve">Patient visits</t>
  </si>
  <si>
    <t xml:space="preserve">Avg patient lifetime (months)</t>
  </si>
  <si>
    <t xml:space="preserve">Active patients</t>
  </si>
  <si>
    <t xml:space="preserve">New patients (month)</t>
  </si>
  <si>
    <t xml:space="preserve">Sites / centers open</t>
  </si>
  <si>
    <t xml:space="preserve">Unit Economics</t>
  </si>
  <si>
    <t xml:space="preserve">Unit</t>
  </si>
  <si>
    <t xml:space="preserve">Net revenue per visit</t>
  </si>
  <si>
    <t xml:space="preserve">$/visit</t>
  </si>
  <si>
    <t xml:space="preserve">Direct cost per visit</t>
  </si>
  <si>
    <t xml:space="preserve">Contribution per visit</t>
  </si>
  <si>
    <t xml:space="preserve">Revenue per active patient / mo</t>
  </si>
  <si>
    <t xml:space="preserve">$/patient</t>
  </si>
  <si>
    <t xml:space="preserve">Customer acquisition cost (CAC)</t>
  </si>
  <si>
    <t xml:space="preserve">$/new pt</t>
  </si>
  <si>
    <t xml:space="preserve">Patient lifetime value (LTV)</t>
  </si>
  <si>
    <t xml:space="preserve">$ (est.)</t>
  </si>
  <si>
    <t xml:space="preserve">LTV / CAC</t>
  </si>
  <si>
    <t xml:space="preserve">ratio</t>
  </si>
  <si>
    <t xml:space="preserve">Revenue per site / mo</t>
  </si>
  <si>
    <t xml:space="preserve">$000s</t>
  </si>
  <si>
    <t xml:space="preserve">LTV = (revenue per active patient/mo) × gross margin % × avg lifetime. Illustrative.</t>
  </si>
  <si>
    <t xml:space="preserve">Revenue by Region — Build &amp; Expansion Toggles ($000s)</t>
  </si>
  <si>
    <t xml:space="preserve">Flip a region's Active toggle to 1 to bring it online. Existing markets reconcile to the May P&amp;L.</t>
  </si>
  <si>
    <t xml:space="preserve">Region</t>
  </si>
  <si>
    <t xml:space="preserve">Active (1/0)</t>
  </si>
  <si>
    <t xml:space="preserve">Launch mo</t>
  </si>
  <si>
    <t xml:space="preserve">Mo-0 rev</t>
  </si>
  <si>
    <t xml:space="preserve">MoM growth</t>
  </si>
  <si>
    <t xml:space="preserve">Gross margin</t>
  </si>
  <si>
    <t xml:space="preserve">Launch capex</t>
  </si>
  <si>
    <t xml:space="preserve">Ramp opex/mo</t>
  </si>
  <si>
    <t xml:space="preserve">Ramp mos</t>
  </si>
  <si>
    <t xml:space="preserve">West (existing)</t>
  </si>
  <si>
    <t xml:space="preserve">Mountain (existing)</t>
  </si>
  <si>
    <t xml:space="preserve">Midwest (existing)</t>
  </si>
  <si>
    <t xml:space="preserve">Southeast (expansion)</t>
  </si>
  <si>
    <t xml:space="preserve">Northeast (expansion)</t>
  </si>
  <si>
    <t xml:space="preserve">Active regions / Mo-0 revenue</t>
  </si>
  <si>
    <t xml:space="preserve">Monthly build ($000s)</t>
  </si>
  <si>
    <t xml:space="preserve">M0</t>
  </si>
  <si>
    <t xml:space="preserve">M1</t>
  </si>
  <si>
    <t xml:space="preserve">M2</t>
  </si>
  <si>
    <t xml:space="preserve">M3</t>
  </si>
  <si>
    <t xml:space="preserve">M4</t>
  </si>
  <si>
    <t xml:space="preserve">M5</t>
  </si>
  <si>
    <t xml:space="preserve">M6</t>
  </si>
  <si>
    <t xml:space="preserve">M7</t>
  </si>
  <si>
    <t xml:space="preserve">M8</t>
  </si>
  <si>
    <t xml:space="preserve">M9</t>
  </si>
  <si>
    <t xml:space="preserve">M10</t>
  </si>
  <si>
    <t xml:space="preserve">M11</t>
  </si>
  <si>
    <t xml:space="preserve">M12</t>
  </si>
  <si>
    <t xml:space="preserve">M13</t>
  </si>
  <si>
    <t xml:space="preserve">M14</t>
  </si>
  <si>
    <t xml:space="preserve">M15</t>
  </si>
  <si>
    <t xml:space="preserve">M16</t>
  </si>
  <si>
    <t xml:space="preserve">M17</t>
  </si>
  <si>
    <t xml:space="preserve">M18</t>
  </si>
  <si>
    <t xml:space="preserve">M19</t>
  </si>
  <si>
    <t xml:space="preserve">M20</t>
  </si>
  <si>
    <t xml:space="preserve">M21</t>
  </si>
  <si>
    <t xml:space="preserve">M22</t>
  </si>
  <si>
    <t xml:space="preserve">M23</t>
  </si>
  <si>
    <t xml:space="preserve">M24</t>
  </si>
  <si>
    <t xml:space="preserve">Blended gross margin %</t>
  </si>
  <si>
    <t xml:space="preserve">Expansion launch capex</t>
  </si>
  <si>
    <t xml:space="preserve">Expansion ramp opex</t>
  </si>
  <si>
    <t xml:space="preserve">Existing-market Mo-0 revenue ties to the consolidated P&amp;L (May total revenue). All figures illustrative.</t>
  </si>
  <si>
    <t xml:space="preserve">Hybrid-Care Clinical Labor Model ($000s)</t>
  </si>
  <si>
    <t xml:space="preserve">Visits split across in-person and telehealth drive provider FTEs and cost. This builds gross profit for the Financing tab.</t>
  </si>
  <si>
    <t xml:space="preserve">Care model &amp; productivity drivers</t>
  </si>
  <si>
    <t xml:space="preserve">Net revenue per visit ($)</t>
  </si>
  <si>
    <t xml:space="preserve">Telehealth share of visits</t>
  </si>
  <si>
    <t xml:space="preserve">In-person share of visits</t>
  </si>
  <si>
    <t xml:space="preserve">Working days / month</t>
  </si>
  <si>
    <t xml:space="preserve">Clinical utilization</t>
  </si>
  <si>
    <t xml:space="preserve">Non-labor COGS (% of revenue)</t>
  </si>
  <si>
    <t xml:space="preserve">Clinical role</t>
  </si>
  <si>
    <t xml:space="preserve">Modality</t>
  </si>
  <si>
    <t xml:space="preserve">Sizing basis</t>
  </si>
  <si>
    <t xml:space="preserve">Driver</t>
  </si>
  <si>
    <t xml:space="preserve">Loaded $/yr</t>
  </si>
  <si>
    <t xml:space="preserve">FTE (Mo-0)</t>
  </si>
  <si>
    <t xml:space="preserve">Cost/mo (Mo-0)</t>
  </si>
  <si>
    <t xml:space="preserve">In-person clinician</t>
  </si>
  <si>
    <t xml:space="preserve">In-person</t>
  </si>
  <si>
    <t xml:space="preserve">Visits / day</t>
  </si>
  <si>
    <t xml:space="preserve">Telehealth clinician</t>
  </si>
  <si>
    <t xml:space="preserve">Telehealth</t>
  </si>
  <si>
    <t xml:space="preserve">RN / nursing support</t>
  </si>
  <si>
    <t xml:space="preserve">Both</t>
  </si>
  <si>
    <t xml:space="preserve">Ratio / clinician</t>
  </si>
  <si>
    <t xml:space="preserve">Behavioral-health tech / MA</t>
  </si>
  <si>
    <t xml:space="preserve">Ratio / IP clinician</t>
  </si>
  <si>
    <t xml:space="preserve">Care coordinator</t>
  </si>
  <si>
    <t xml:space="preserve">Clinical supervisor / lead</t>
  </si>
  <si>
    <t xml:space="preserve">Total / Mo-0</t>
  </si>
  <si>
    <t xml:space="preserve">Monthly build</t>
  </si>
  <si>
    <t xml:space="preserve">Total visits</t>
  </si>
  <si>
    <t xml:space="preserve">  Telehealth visits</t>
  </si>
  <si>
    <t xml:space="preserve">  In-person visits</t>
  </si>
  <si>
    <t xml:space="preserve">In-person clinician FTE</t>
  </si>
  <si>
    <t xml:space="preserve">Telehealth clinician FTE</t>
  </si>
  <si>
    <t xml:space="preserve">RN / nursing FTE</t>
  </si>
  <si>
    <t xml:space="preserve">BH tech / MA FTE</t>
  </si>
  <si>
    <t xml:space="preserve">Care coordinator FTE</t>
  </si>
  <si>
    <t xml:space="preserve">Clinical supervisor FTE</t>
  </si>
  <si>
    <t xml:space="preserve">Total clinical FTE</t>
  </si>
  <si>
    <t xml:space="preserve">Clinical labor cost</t>
  </si>
  <si>
    <t xml:space="preserve">Non-labor COGS</t>
  </si>
  <si>
    <t xml:space="preserve">Total COGS</t>
  </si>
  <si>
    <t xml:space="preserve">Mo-0 read-out</t>
  </si>
  <si>
    <t xml:space="preserve">Telehealth mix is the key lever: raising the telehealth share lifts throughput and lowers labor cost per visit, expanding margin. Mo-0 clinical labor approximately reconciles to the consolidated P&amp;L. Illustrative.</t>
  </si>
  <si>
    <t xml:space="preserve">Financing &amp; Runway — Series B Timing ($000s)</t>
  </si>
  <si>
    <t xml:space="preserve">Revenue links from Regions; gross profit is built bottom-up in the Labor Model. Toggle financing to see runway extend.</t>
  </si>
  <si>
    <t xml:space="preserve">Operating assumptions</t>
  </si>
  <si>
    <t xml:space="preserve">Financing levers</t>
  </si>
  <si>
    <t xml:space="preserve">Starting cash</t>
  </si>
  <si>
    <t xml:space="preserve">Equity raise — include? (1/0)</t>
  </si>
  <si>
    <t xml:space="preserve">Corporate opex (Mo-0)</t>
  </si>
  <si>
    <t xml:space="preserve">Equity amount</t>
  </si>
  <si>
    <t xml:space="preserve">Corporate opex growth (MoM)</t>
  </si>
  <si>
    <t xml:space="preserve">Equity close month</t>
  </si>
  <si>
    <t xml:space="preserve">Capex / month (base)</t>
  </si>
  <si>
    <t xml:space="preserve">Venture debt — include? (1/0)</t>
  </si>
  <si>
    <t xml:space="preserve">Working-capital drag / mo</t>
  </si>
  <si>
    <t xml:space="preserve">Debt amount drawn</t>
  </si>
  <si>
    <t xml:space="preserve">Minimum cash threshold</t>
  </si>
  <si>
    <t xml:space="preserve">Debt draw month</t>
  </si>
  <si>
    <t xml:space="preserve">Fundraise lead time (months)</t>
  </si>
  <si>
    <t xml:space="preserve">Debt annual interest rate</t>
  </si>
  <si>
    <t xml:space="preserve">Month</t>
  </si>
  <si>
    <t xml:space="preserve">Revenue (from Regions)</t>
  </si>
  <si>
    <t xml:space="preserve">Corporate opex</t>
  </si>
  <si>
    <t xml:space="preserve">Total opex</t>
  </si>
  <si>
    <t xml:space="preserve">Base capex</t>
  </si>
  <si>
    <t xml:space="preserve">Working-capital drag</t>
  </si>
  <si>
    <t xml:space="preserve">Interest expense</t>
  </si>
  <si>
    <t xml:space="preserve">Operating cash flow</t>
  </si>
  <si>
    <t xml:space="preserve">Cash before financing</t>
  </si>
  <si>
    <t xml:space="preserve">Equity inflow</t>
  </si>
  <si>
    <t xml:space="preserve">Debt inflow</t>
  </si>
  <si>
    <t xml:space="preserve">Net cash flow (all-in)</t>
  </si>
  <si>
    <t xml:space="preserve">Ending cash</t>
  </si>
  <si>
    <t xml:space="preserve">Below minimum? (op)</t>
  </si>
  <si>
    <t xml:space="preserve">Series B — Timing &amp; Sizing</t>
  </si>
  <si>
    <t xml:space="preserve">Cash-out month — expansion, before raise</t>
  </si>
  <si>
    <t xml:space="preserve">Operating runway (months)</t>
  </si>
  <si>
    <t xml:space="preserve">Recommended Series B close-by month</t>
  </si>
  <si>
    <t xml:space="preserve">Capital needed to hold the minimum</t>
  </si>
  <si>
    <t xml:space="preserve">Min cash before financing</t>
  </si>
  <si>
    <t xml:space="preserve">Ending cash at M24 (current toggles)</t>
  </si>
  <si>
    <t xml:space="preserve">Min cash at any point (current toggles)</t>
  </si>
  <si>
    <t xml:space="preserve">Read-out</t>
  </si>
  <si>
    <t xml:space="preserve">How to use</t>
  </si>
  <si>
    <t xml:space="preserve">1.  Turn on expansion in Regions (set Southeast / Northeast Active = 1) to model the growth plan.</t>
  </si>
  <si>
    <t xml:space="preserve">2.  Read the cash-out month and the recommended close-by month above (close-by = cash-out − lead time).</t>
  </si>
  <si>
    <t xml:space="preserve">3.  Compare financing: set Equity include = 1 (dilutive, no repayment) vs. Venture debt include = 1 (non-dilutive, carries interest) and watch ending cash and min-cash.</t>
  </si>
  <si>
    <t xml:space="preserve">4.  Size the round using 'Capital needed to hold the minimum', plus the operating buffer you want.</t>
  </si>
  <si>
    <t xml:space="preserve">Variance Narrative — May 2026</t>
  </si>
  <si>
    <t xml:space="preserve">Auto-drafted from the P&amp;L tab with Claude, then reviewed and approved by Finance. Figures in $000s.</t>
  </si>
  <si>
    <t xml:space="preserve">EXECUTIVE SUMMARY</t>
  </si>
  <si>
    <t xml:space="preserve">May EBITDA of $290K landed $380K (57%) below the $670K plan. The miss was driven primarily by gross-margin compression rather than a top-line shortfall: gross margin came in at 30.8% versus a planned 35.5%. Revenue of $5,420K was $180K (3.2%) light to budget, while total direct costs ran $140K over plan.</t>
  </si>
  <si>
    <t xml:space="preserve">REVENUE</t>
  </si>
  <si>
    <t xml:space="preserve">Patient service revenue of $3,980K was $220K (5.2%) below plan on a ~400-visit volume shortfall (18,200 actual vs. 18,600 budgeted). This was partially offset by capitation &amp; value-based revenue of $1,240K, $60K ahead of plan, as two recently signed value-based contracts ramped faster than expected. Net revenue per visit held roughly in line with plan, so the gap is a volume story, not a rate story.</t>
  </si>
  <si>
    <t xml:space="preserve">DIRECT COSTS / GROSS MARGIN</t>
  </si>
  <si>
    <t xml:space="preserve">Clinical labor of $2,760K exceeded budget by $110K (4.2%) and is the single largest driver of the EBITDA miss. Premium agency staffing was used to cover open clinical roles, raising the effective cost per visit. Medical supplies ($520K) and clinical facilities ($470K) were modestly over plan. With labor at roughly 74% of direct cost, staffing model decisions are the highest-leverage margin lever this quarter.</t>
  </si>
  <si>
    <t xml:space="preserve">OPERATING EXPENSES</t>
  </si>
  <si>
    <t xml:space="preserve">Total operating expense of $1,380K was $60K over plan. Sales &amp; marketing ($410K) accounted for $30K of that as a demand-generation campaign was pulled forward from June; G&amp;A and technology were each marginally over. Below-gross-margin spend was not a primary driver of the miss.</t>
  </si>
  <si>
    <t xml:space="preserve">YEAR-TO-DATE</t>
  </si>
  <si>
    <t xml:space="preserve">Through May, EBITDA of $1,870K trails the $3,370K plan by $1,500K (6.9% margin vs. 12.1% planned). The YTD story mirrors the month: revenue tracking ~3% under plan on volume, and direct labor running ahead of budget.</t>
  </si>
  <si>
    <t xml:space="preserve">WATCH ITEMS &amp; RECOMMENDED ACTIONS</t>
  </si>
  <si>
    <t xml:space="preserve">1) Convert agency clinical hours to permanent hires to structurally lower cost per visit. 2) Diagnose the patient-volume shortfall (referral mix, scheduling capacity, or seasonality) before the Q3 reforecast. 3) Protect and accelerate the value-based revenue ramp, which is the clearest offset in the plan. 4) Re-baseline the labor assumption in the reforecast if agency reliance persists into June.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</si>
</sst>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#,##0;\(#,##0\);\-"/>
    <numFmt numFmtId="166" formatCode="0.0%;\(0.0%\);\-"/>
    <numFmt numFmtId="167" formatCode="#,##0"/>
    <numFmt numFmtId="168" formatCode="0"/>
    <numFmt numFmtId="169" formatCode="\$#,##0.00"/>
    <numFmt numFmtId="170" formatCode="\$#,##0;&quot;($&quot;#,##0\);\-"/>
    <numFmt numFmtId="171" formatCode="0.0\x"/>
    <numFmt numFmtId="172" formatCode="\$#,##0"/>
    <numFmt numFmtId="173" formatCode="0.0"/>
    <numFmt numFmtId="174" formatCode="0.00"/>
  </numFmts>
  <fonts count="3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2A44"/>
      <name val="Arial"/>
      <family val="0"/>
      <charset val="1"/>
    </font>
    <font>
      <i val="true"/>
      <sz val="11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1F2A44"/>
      <name val="Arial"/>
      <family val="0"/>
      <charset val="1"/>
    </font>
    <font>
      <sz val="10"/>
      <color rgb="FF333333"/>
      <name val="Arial"/>
      <family val="0"/>
      <charset val="1"/>
    </font>
    <font>
      <b val="true"/>
      <sz val="9"/>
      <color rgb="FF595959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4"/>
      <color rgb="FF1F2A4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F2A44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i val="true"/>
      <sz val="10"/>
      <color rgb="FF9C6500"/>
      <name val="Arial"/>
      <family val="0"/>
      <charset val="1"/>
    </font>
    <font>
      <sz val="9"/>
      <color rgb="FF595959"/>
      <name val="Arial"/>
      <family val="0"/>
      <charset val="1"/>
    </font>
    <font>
      <sz val="10"/>
      <color rgb="FF1F2A44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9"/>
      <color rgb="FF000000"/>
      <name val="Arial"/>
      <family val="0"/>
      <charset val="1"/>
    </font>
    <font>
      <i val="true"/>
      <sz val="9"/>
      <color rgb="FF595959"/>
      <name val="Arial"/>
      <family val="0"/>
      <charset val="1"/>
    </font>
    <font>
      <sz val="10"/>
      <color rgb="FF595959"/>
      <name val="Arial"/>
      <family val="0"/>
      <charset val="1"/>
    </font>
    <font>
      <sz val="9"/>
      <color rgb="FF2E7D88"/>
      <name val="Arial"/>
      <family val="0"/>
      <charset val="1"/>
    </font>
    <font>
      <b val="true"/>
      <sz val="9"/>
      <color rgb="FF1F2A44"/>
      <name val="Arial"/>
      <family val="0"/>
      <charset val="1"/>
    </font>
    <font>
      <i val="true"/>
      <sz val="10"/>
      <color rgb="FF000000"/>
      <name val="Arial"/>
      <family val="0"/>
      <charset val="1"/>
    </font>
    <font>
      <b val="true"/>
      <sz val="11"/>
      <color rgb="FF2E7D88"/>
      <name val="Arial"/>
      <family val="0"/>
      <charset val="1"/>
    </font>
    <font>
      <i val="true"/>
      <sz val="10"/>
      <color rgb="FF333333"/>
      <name val="Arial"/>
      <family val="0"/>
      <charset val="1"/>
    </font>
    <font>
      <sz val="8"/>
      <color rgb="FF808080"/>
      <name val="Arial"/>
      <family val="0"/>
      <charset val="1"/>
    </font>
    <font>
      <i val="true"/>
      <sz val="10.5"/>
      <color rgb="FF222222"/>
      <name val="Arial"/>
      <family val="0"/>
      <charset val="1"/>
    </font>
    <font>
      <sz val="9.5"/>
      <color rgb="FF333333"/>
      <name val="Arial"/>
      <family val="0"/>
      <charset val="1"/>
    </font>
    <font>
      <sz val="10"/>
      <color rgb="FF222222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2E7D88"/>
        <bgColor rgb="FF008080"/>
      </patternFill>
    </fill>
    <fill>
      <patternFill patternType="solid">
        <fgColor rgb="FF1F2A44"/>
        <bgColor rgb="FF222222"/>
      </patternFill>
    </fill>
    <fill>
      <patternFill patternType="solid">
        <fgColor rgb="FFEAF1F3"/>
        <bgColor rgb="FFFFFFFF"/>
      </patternFill>
    </fill>
    <fill>
      <patternFill patternType="solid">
        <fgColor rgb="FFFFF3CD"/>
        <bgColor rgb="FFEAF1F3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 style="thin">
        <color rgb="FF808080"/>
      </top>
      <bottom/>
      <diagonal/>
    </border>
    <border diagonalUp="false" diagonalDown="false">
      <left/>
      <right/>
      <top style="medium">
        <color rgb="FF1F2A44"/>
      </top>
      <bottom style="medium">
        <color rgb="FF1F2A44"/>
      </bottom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10" fillId="0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1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13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3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13" fillId="3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14" fillId="4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true">
      <alignment horizontal="left" vertical="center" textRotation="0" wrapText="false" indent="1" shrinkToFit="false"/>
      <protection locked="true" hidden="false"/>
    </xf>
    <xf numFmtId="165" fontId="16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5" fontId="15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6" fontId="15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5" fontId="17" fillId="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6" fontId="17" fillId="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7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5" fontId="14" fillId="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6" fontId="12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5" fontId="14" fillId="0" borderId="2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5" fontId="17" fillId="0" borderId="2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6" fontId="17" fillId="0" borderId="2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15" fillId="2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13" fillId="3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7" fontId="16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7" fontId="15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18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9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8" fontId="16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8" fontId="15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9" fontId="15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9" fontId="17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70" fontId="15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71" fontId="17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13" fillId="3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13" fillId="3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13" fillId="3" borderId="0" xfId="0" applyFont="true" applyBorder="false" applyAlignment="true" applyProtection="true">
      <alignment horizontal="right" vertical="center" textRotation="0" wrapText="true" indent="0" shrinkToFit="false"/>
      <protection locked="true" hidden="false"/>
    </xf>
    <xf numFmtId="168" fontId="16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6" fontId="16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20" fillId="0" borderId="0" xfId="0" applyFont="true" applyBorder="false" applyAlignment="true" applyProtection="true">
      <alignment horizontal="left" vertical="center" textRotation="0" wrapText="false" indent="1" shrinkToFit="false"/>
      <protection locked="true" hidden="false"/>
    </xf>
    <xf numFmtId="168" fontId="16" fillId="5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8" fontId="17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2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13" fillId="2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21" fillId="0" borderId="0" xfId="0" applyFont="true" applyBorder="false" applyAlignment="true" applyProtection="true">
      <alignment horizontal="left" vertical="center" textRotation="0" wrapText="false" indent="1" shrinkToFit="false"/>
      <protection locked="true" hidden="false"/>
    </xf>
    <xf numFmtId="165" fontId="21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5" fontId="22" fillId="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5" fontId="22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6" fontId="23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24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72" fontId="16" fillId="5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6" fontId="16" fillId="5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8" fontId="16" fillId="5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72" fontId="16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73" fontId="15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74" fontId="16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73" fontId="17" fillId="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7" fontId="25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7" fontId="21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73" fontId="21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73" fontId="22" fillId="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5" fontId="26" fillId="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27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28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29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25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5" fontId="22" fillId="0" borderId="2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8" fontId="30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17" fillId="0" borderId="0" xfId="0" applyFont="true" applyBorder="false" applyAlignment="true" applyProtection="true">
      <alignment horizontal="left" vertical="center" textRotation="0" wrapText="false" indent="1" shrinkToFit="false"/>
      <protection locked="true" hidden="false"/>
    </xf>
    <xf numFmtId="168" fontId="14" fillId="5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5" fontId="14" fillId="5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31" fillId="0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32" fillId="0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1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33" fillId="0" borderId="3" xfId="0" applyFont="true" applyBorder="true" applyAlignment="true" applyProtection="tru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9C6500"/>
      <rgbColor rgb="FF800080"/>
      <rgbColor rgb="FF008080"/>
      <rgbColor rgb="FFC0C0C0"/>
      <rgbColor rgb="FF808080"/>
      <rgbColor rgb="FF9999FF"/>
      <rgbColor rgb="FF993366"/>
      <rgbColor rgb="FFFFF3CD"/>
      <rgbColor rgb="FFEAF1F3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2A44"/>
      <rgbColor rgb="FF2E7D88"/>
      <rgbColor rgb="FF003300"/>
      <rgbColor rgb="FF222222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1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6"/>
    <col collapsed="false" customWidth="true" hidden="false" outlineLevel="0" max="7" min="3" style="1" width="16"/>
    <col collapsed="false" customWidth="true" hidden="false" outlineLevel="0" max="8" min="8" style="1" width="3"/>
  </cols>
  <sheetData>
    <row r="2" customFormat="false" ht="22.05" hidden="false" customHeight="false" outlineLevel="0" collapsed="false">
      <c r="B2" s="2" t="s">
        <v>0</v>
      </c>
    </row>
    <row r="3" customFormat="false" ht="15" hidden="false" customHeight="false" outlineLevel="0" collapsed="false">
      <c r="B3" s="3" t="s">
        <v>1</v>
      </c>
    </row>
    <row r="5" customFormat="false" ht="15" hidden="false" customHeight="false" outlineLevel="0" collapsed="false">
      <c r="B5" s="4" t="s">
        <v>2</v>
      </c>
      <c r="C5" s="4"/>
      <c r="D5" s="4"/>
      <c r="E5" s="4"/>
      <c r="F5" s="4"/>
      <c r="G5" s="4"/>
    </row>
    <row r="7" customFormat="false" ht="43.5" hidden="false" customHeight="true" outlineLevel="0" collapsed="false">
      <c r="B7" s="5" t="s">
        <v>3</v>
      </c>
      <c r="C7" s="6" t="s">
        <v>4</v>
      </c>
      <c r="D7" s="6"/>
      <c r="E7" s="6"/>
      <c r="F7" s="6"/>
      <c r="G7" s="6"/>
    </row>
    <row r="8" customFormat="false" ht="43.5" hidden="false" customHeight="true" outlineLevel="0" collapsed="false">
      <c r="B8" s="5" t="s">
        <v>5</v>
      </c>
      <c r="C8" s="6" t="s">
        <v>6</v>
      </c>
      <c r="D8" s="6"/>
      <c r="E8" s="6"/>
      <c r="F8" s="6"/>
      <c r="G8" s="6"/>
    </row>
    <row r="9" customFormat="false" ht="43.5" hidden="false" customHeight="true" outlineLevel="0" collapsed="false">
      <c r="B9" s="5" t="s">
        <v>7</v>
      </c>
      <c r="C9" s="6" t="s">
        <v>8</v>
      </c>
      <c r="D9" s="6"/>
      <c r="E9" s="6"/>
      <c r="F9" s="6"/>
      <c r="G9" s="6"/>
    </row>
    <row r="10" customFormat="false" ht="43.5" hidden="false" customHeight="true" outlineLevel="0" collapsed="false">
      <c r="B10" s="5" t="s">
        <v>9</v>
      </c>
      <c r="C10" s="6" t="s">
        <v>10</v>
      </c>
      <c r="D10" s="6"/>
      <c r="E10" s="6"/>
      <c r="F10" s="6"/>
      <c r="G10" s="6"/>
    </row>
    <row r="12" customFormat="false" ht="15" hidden="false" customHeight="true" outlineLevel="0" collapsed="false">
      <c r="B12" s="7" t="s">
        <v>11</v>
      </c>
      <c r="C12" s="8" t="s">
        <v>12</v>
      </c>
      <c r="D12" s="8"/>
      <c r="E12" s="8"/>
      <c r="F12" s="8"/>
      <c r="G12" s="8"/>
    </row>
  </sheetData>
  <mergeCells count="6">
    <mergeCell ref="B5:G5"/>
    <mergeCell ref="C7:G7"/>
    <mergeCell ref="C8:G8"/>
    <mergeCell ref="C9:G9"/>
    <mergeCell ref="C10:G10"/>
    <mergeCell ref="C12:G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K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0"/>
    <col collapsed="false" customWidth="true" hidden="false" outlineLevel="0" max="4" min="3" style="1" width="13"/>
    <col collapsed="false" customWidth="true" hidden="false" outlineLevel="0" max="5" min="5" style="1" width="12"/>
    <col collapsed="false" customWidth="true" hidden="false" outlineLevel="0" max="6" min="6" style="1" width="9"/>
    <col collapsed="false" customWidth="true" hidden="false" outlineLevel="0" max="7" min="7" style="1" width="3"/>
    <col collapsed="false" customWidth="true" hidden="false" outlineLevel="0" max="9" min="8" style="1" width="13"/>
    <col collapsed="false" customWidth="true" hidden="false" outlineLevel="0" max="10" min="10" style="1" width="12"/>
    <col collapsed="false" customWidth="true" hidden="false" outlineLevel="0" max="11" min="11" style="1" width="9"/>
    <col collapsed="false" customWidth="true" hidden="false" outlineLevel="0" max="12" min="12" style="1" width="2"/>
  </cols>
  <sheetData>
    <row r="2" customFormat="false" ht="17.35" hidden="false" customHeight="false" outlineLevel="0" collapsed="false">
      <c r="B2" s="9" t="s">
        <v>13</v>
      </c>
      <c r="C2" s="9"/>
      <c r="D2" s="9"/>
      <c r="E2" s="9"/>
      <c r="F2" s="9"/>
      <c r="G2" s="9"/>
      <c r="H2" s="9"/>
      <c r="I2" s="9"/>
      <c r="J2" s="9"/>
      <c r="K2" s="9"/>
    </row>
    <row r="3" customFormat="false" ht="15" hidden="false" customHeight="false" outlineLevel="0" collapsed="false">
      <c r="B3" s="10" t="s">
        <v>14</v>
      </c>
    </row>
    <row r="4" customFormat="false" ht="15" hidden="false" customHeight="false" outlineLevel="0" collapsed="false">
      <c r="C4" s="11" t="s">
        <v>15</v>
      </c>
      <c r="D4" s="11"/>
      <c r="E4" s="11"/>
      <c r="F4" s="11"/>
      <c r="H4" s="11" t="s">
        <v>16</v>
      </c>
      <c r="I4" s="11"/>
      <c r="J4" s="11"/>
      <c r="K4" s="11"/>
    </row>
    <row r="5" customFormat="false" ht="15" hidden="false" customHeight="false" outlineLevel="0" collapsed="false">
      <c r="B5" s="12" t="s">
        <v>17</v>
      </c>
      <c r="C5" s="13" t="s">
        <v>18</v>
      </c>
      <c r="D5" s="13" t="s">
        <v>19</v>
      </c>
      <c r="E5" s="13" t="s">
        <v>20</v>
      </c>
      <c r="F5" s="13" t="s">
        <v>21</v>
      </c>
      <c r="H5" s="13" t="s">
        <v>18</v>
      </c>
      <c r="I5" s="13" t="s">
        <v>19</v>
      </c>
      <c r="J5" s="13" t="s">
        <v>20</v>
      </c>
      <c r="K5" s="13" t="s">
        <v>21</v>
      </c>
    </row>
    <row r="6" customFormat="false" ht="15" hidden="false" customHeight="false" outlineLevel="0" collapsed="false">
      <c r="B6" s="14" t="s">
        <v>22</v>
      </c>
    </row>
    <row r="7" customFormat="false" ht="15" hidden="false" customHeight="false" outlineLevel="0" collapsed="false">
      <c r="B7" s="15" t="s">
        <v>23</v>
      </c>
      <c r="C7" s="16" t="n">
        <v>3980</v>
      </c>
      <c r="D7" s="16" t="n">
        <v>4200</v>
      </c>
      <c r="E7" s="17" t="n">
        <f aca="false">C7-D7</f>
        <v>-220</v>
      </c>
      <c r="F7" s="18" t="n">
        <f aca="false">IF(D7=0,"-",E7/D7)</f>
        <v>-0.0523809523809524</v>
      </c>
      <c r="H7" s="16" t="n">
        <v>19850</v>
      </c>
      <c r="I7" s="16" t="n">
        <v>20800</v>
      </c>
      <c r="J7" s="17" t="n">
        <f aca="false">H7-I7</f>
        <v>-950</v>
      </c>
      <c r="K7" s="18" t="n">
        <f aca="false">IF(I7=0,"-",J7/I7)</f>
        <v>-0.0456730769230769</v>
      </c>
    </row>
    <row r="8" customFormat="false" ht="15" hidden="false" customHeight="false" outlineLevel="0" collapsed="false">
      <c r="B8" s="15" t="s">
        <v>24</v>
      </c>
      <c r="C8" s="16" t="n">
        <v>1240</v>
      </c>
      <c r="D8" s="16" t="n">
        <v>1180</v>
      </c>
      <c r="E8" s="17" t="n">
        <f aca="false">C8-D8</f>
        <v>60</v>
      </c>
      <c r="F8" s="18" t="n">
        <f aca="false">IF(D8=0,"-",E8/D8)</f>
        <v>0.0508474576271187</v>
      </c>
      <c r="H8" s="16" t="n">
        <v>6010</v>
      </c>
      <c r="I8" s="16" t="n">
        <v>5900</v>
      </c>
      <c r="J8" s="17" t="n">
        <f aca="false">H8-I8</f>
        <v>110</v>
      </c>
      <c r="K8" s="18" t="n">
        <f aca="false">IF(I8=0,"-",J8/I8)</f>
        <v>0.0186440677966102</v>
      </c>
    </row>
    <row r="9" customFormat="false" ht="15" hidden="false" customHeight="false" outlineLevel="0" collapsed="false">
      <c r="B9" s="15" t="s">
        <v>25</v>
      </c>
      <c r="C9" s="16" t="n">
        <v>200</v>
      </c>
      <c r="D9" s="16" t="n">
        <v>220</v>
      </c>
      <c r="E9" s="17" t="n">
        <f aca="false">C9-D9</f>
        <v>-20</v>
      </c>
      <c r="F9" s="18" t="n">
        <f aca="false">IF(D9=0,"-",E9/D9)</f>
        <v>-0.0909090909090909</v>
      </c>
      <c r="H9" s="16" t="n">
        <v>1050</v>
      </c>
      <c r="I9" s="16" t="n">
        <v>1100</v>
      </c>
      <c r="J9" s="17" t="n">
        <f aca="false">H9-I9</f>
        <v>-50</v>
      </c>
      <c r="K9" s="18" t="n">
        <f aca="false">IF(I9=0,"-",J9/I9)</f>
        <v>-0.0454545454545455</v>
      </c>
    </row>
    <row r="10" customFormat="false" ht="15" hidden="false" customHeight="false" outlineLevel="0" collapsed="false">
      <c r="B10" s="19" t="s">
        <v>26</v>
      </c>
      <c r="C10" s="20" t="n">
        <f aca="false">C7+C8+C9</f>
        <v>5420</v>
      </c>
      <c r="D10" s="20" t="n">
        <f aca="false">D7+D8+D9</f>
        <v>5600</v>
      </c>
      <c r="E10" s="20" t="n">
        <f aca="false">C10-D10</f>
        <v>-180</v>
      </c>
      <c r="F10" s="21" t="n">
        <f aca="false">IF(D10=0,"-",E10/D10)</f>
        <v>-0.0321428571428571</v>
      </c>
      <c r="H10" s="20" t="n">
        <f aca="false">H7+H8+H9</f>
        <v>26910</v>
      </c>
      <c r="I10" s="20" t="n">
        <f aca="false">I7+I8+I9</f>
        <v>27800</v>
      </c>
      <c r="J10" s="20" t="n">
        <f aca="false">H10-I10</f>
        <v>-890</v>
      </c>
      <c r="K10" s="21" t="n">
        <f aca="false">IF(I10=0,"-",J10/I10)</f>
        <v>-0.0320143884892086</v>
      </c>
    </row>
    <row r="12" customFormat="false" ht="15" hidden="false" customHeight="false" outlineLevel="0" collapsed="false">
      <c r="B12" s="14" t="s">
        <v>27</v>
      </c>
    </row>
    <row r="13" customFormat="false" ht="15" hidden="false" customHeight="false" outlineLevel="0" collapsed="false">
      <c r="B13" s="15" t="s">
        <v>28</v>
      </c>
      <c r="C13" s="16" t="n">
        <v>2760</v>
      </c>
      <c r="D13" s="16" t="n">
        <v>2650</v>
      </c>
      <c r="E13" s="17" t="n">
        <f aca="false">C13-D13</f>
        <v>110</v>
      </c>
      <c r="F13" s="18" t="n">
        <f aca="false">IF(D13=0,"-",E13/D13)</f>
        <v>0.0415094339622642</v>
      </c>
      <c r="H13" s="16" t="n">
        <v>13400</v>
      </c>
      <c r="I13" s="16" t="n">
        <v>13050</v>
      </c>
      <c r="J13" s="17" t="n">
        <f aca="false">H13-I13</f>
        <v>350</v>
      </c>
      <c r="K13" s="18" t="n">
        <f aca="false">IF(I13=0,"-",J13/I13)</f>
        <v>0.0268199233716475</v>
      </c>
    </row>
    <row r="14" customFormat="false" ht="15" hidden="false" customHeight="false" outlineLevel="0" collapsed="false">
      <c r="B14" s="15" t="s">
        <v>29</v>
      </c>
      <c r="C14" s="16" t="n">
        <v>520</v>
      </c>
      <c r="D14" s="16" t="n">
        <v>500</v>
      </c>
      <c r="E14" s="17" t="n">
        <f aca="false">C14-D14</f>
        <v>20</v>
      </c>
      <c r="F14" s="18" t="n">
        <f aca="false">IF(D14=0,"-",E14/D14)</f>
        <v>0.04</v>
      </c>
      <c r="H14" s="16" t="n">
        <v>2540</v>
      </c>
      <c r="I14" s="16" t="n">
        <v>2480</v>
      </c>
      <c r="J14" s="17" t="n">
        <f aca="false">H14-I14</f>
        <v>60</v>
      </c>
      <c r="K14" s="18" t="n">
        <f aca="false">IF(I14=0,"-",J14/I14)</f>
        <v>0.0241935483870968</v>
      </c>
    </row>
    <row r="15" customFormat="false" ht="15" hidden="false" customHeight="false" outlineLevel="0" collapsed="false">
      <c r="B15" s="15" t="s">
        <v>30</v>
      </c>
      <c r="C15" s="16" t="n">
        <v>470</v>
      </c>
      <c r="D15" s="16" t="n">
        <v>460</v>
      </c>
      <c r="E15" s="17" t="n">
        <f aca="false">C15-D15</f>
        <v>10</v>
      </c>
      <c r="F15" s="18" t="n">
        <f aca="false">IF(D15=0,"-",E15/D15)</f>
        <v>0.0217391304347826</v>
      </c>
      <c r="H15" s="16" t="n">
        <v>2330</v>
      </c>
      <c r="I15" s="16" t="n">
        <v>2300</v>
      </c>
      <c r="J15" s="17" t="n">
        <f aca="false">H15-I15</f>
        <v>30</v>
      </c>
      <c r="K15" s="18" t="n">
        <f aca="false">IF(I15=0,"-",J15/I15)</f>
        <v>0.0130434782608696</v>
      </c>
    </row>
    <row r="16" customFormat="false" ht="15" hidden="false" customHeight="false" outlineLevel="0" collapsed="false">
      <c r="B16" s="22" t="s">
        <v>31</v>
      </c>
      <c r="C16" s="20" t="n">
        <f aca="false">C13+C14+C15</f>
        <v>3750</v>
      </c>
      <c r="D16" s="20" t="n">
        <f aca="false">D13+D14+D15</f>
        <v>3610</v>
      </c>
      <c r="E16" s="20" t="n">
        <f aca="false">C16-D16</f>
        <v>140</v>
      </c>
      <c r="F16" s="21" t="n">
        <f aca="false">IF(D16=0,"-",E16/D16)</f>
        <v>0.038781163434903</v>
      </c>
      <c r="H16" s="20" t="n">
        <f aca="false">H13+H14+H15</f>
        <v>18270</v>
      </c>
      <c r="I16" s="20" t="n">
        <f aca="false">I13+I14+I15</f>
        <v>17830</v>
      </c>
      <c r="J16" s="20" t="n">
        <f aca="false">H16-I16</f>
        <v>440</v>
      </c>
      <c r="K16" s="21" t="n">
        <f aca="false">IF(I16=0,"-",J16/I16)</f>
        <v>0.0246775098149187</v>
      </c>
    </row>
    <row r="17" customFormat="false" ht="15" hidden="false" customHeight="false" outlineLevel="0" collapsed="false">
      <c r="B17" s="19" t="s">
        <v>32</v>
      </c>
      <c r="C17" s="23" t="n">
        <f aca="false">C10-C16</f>
        <v>1670</v>
      </c>
      <c r="D17" s="23" t="n">
        <f aca="false">D10-D16</f>
        <v>1990</v>
      </c>
      <c r="E17" s="20" t="n">
        <f aca="false">C17-D17</f>
        <v>-320</v>
      </c>
      <c r="F17" s="21" t="n">
        <f aca="false">IF(D17=0,"-",E17/D17)</f>
        <v>-0.160804020100503</v>
      </c>
      <c r="H17" s="23" t="n">
        <f aca="false">H10-H16</f>
        <v>8640</v>
      </c>
      <c r="I17" s="23" t="n">
        <f aca="false">I10-I16</f>
        <v>9970</v>
      </c>
      <c r="J17" s="20" t="n">
        <f aca="false">H17-I17</f>
        <v>-1330</v>
      </c>
      <c r="K17" s="21" t="n">
        <f aca="false">IF(I17=0,"-",J17/I17)</f>
        <v>-0.133400200601805</v>
      </c>
    </row>
    <row r="18" customFormat="false" ht="15" hidden="false" customHeight="false" outlineLevel="0" collapsed="false">
      <c r="B18" s="15" t="s">
        <v>33</v>
      </c>
      <c r="C18" s="24" t="n">
        <f aca="false">IF(C10=0,"-",C17/C10)</f>
        <v>0.308118081180812</v>
      </c>
      <c r="D18" s="24" t="n">
        <f aca="false">IF(D10=0,"-",D17/D10)</f>
        <v>0.355357142857143</v>
      </c>
      <c r="H18" s="24" t="n">
        <f aca="false">IF(H10=0,"-",H17/H10)</f>
        <v>0.321070234113712</v>
      </c>
      <c r="I18" s="24" t="n">
        <f aca="false">IF(I10=0,"-",I17/I10)</f>
        <v>0.35863309352518</v>
      </c>
    </row>
    <row r="20" customFormat="false" ht="15" hidden="false" customHeight="false" outlineLevel="0" collapsed="false">
      <c r="B20" s="14" t="s">
        <v>34</v>
      </c>
    </row>
    <row r="21" customFormat="false" ht="15" hidden="false" customHeight="false" outlineLevel="0" collapsed="false">
      <c r="B21" s="15" t="s">
        <v>35</v>
      </c>
      <c r="C21" s="16" t="n">
        <v>410</v>
      </c>
      <c r="D21" s="16" t="n">
        <v>380</v>
      </c>
      <c r="E21" s="17" t="n">
        <f aca="false">C21-D21</f>
        <v>30</v>
      </c>
      <c r="F21" s="18" t="n">
        <f aca="false">IF(D21=0,"-",E21/D21)</f>
        <v>0.0789473684210526</v>
      </c>
      <c r="H21" s="16" t="n">
        <v>1980</v>
      </c>
      <c r="I21" s="16" t="n">
        <v>1900</v>
      </c>
      <c r="J21" s="17" t="n">
        <f aca="false">H21-I21</f>
        <v>80</v>
      </c>
      <c r="K21" s="18" t="n">
        <f aca="false">IF(I21=0,"-",J21/I21)</f>
        <v>0.0421052631578947</v>
      </c>
    </row>
    <row r="22" customFormat="false" ht="15" hidden="false" customHeight="false" outlineLevel="0" collapsed="false">
      <c r="B22" s="15" t="s">
        <v>36</v>
      </c>
      <c r="C22" s="16" t="n">
        <v>720</v>
      </c>
      <c r="D22" s="16" t="n">
        <v>700</v>
      </c>
      <c r="E22" s="17" t="n">
        <f aca="false">C22-D22</f>
        <v>20</v>
      </c>
      <c r="F22" s="18" t="n">
        <f aca="false">IF(D22=0,"-",E22/D22)</f>
        <v>0.0285714285714286</v>
      </c>
      <c r="H22" s="16" t="n">
        <v>3560</v>
      </c>
      <c r="I22" s="16" t="n">
        <v>3500</v>
      </c>
      <c r="J22" s="17" t="n">
        <f aca="false">H22-I22</f>
        <v>60</v>
      </c>
      <c r="K22" s="18" t="n">
        <f aca="false">IF(I22=0,"-",J22/I22)</f>
        <v>0.0171428571428571</v>
      </c>
    </row>
    <row r="23" customFormat="false" ht="15" hidden="false" customHeight="false" outlineLevel="0" collapsed="false">
      <c r="B23" s="15" t="s">
        <v>37</v>
      </c>
      <c r="C23" s="16" t="n">
        <v>250</v>
      </c>
      <c r="D23" s="16" t="n">
        <v>240</v>
      </c>
      <c r="E23" s="17" t="n">
        <f aca="false">C23-D23</f>
        <v>10</v>
      </c>
      <c r="F23" s="18" t="n">
        <f aca="false">IF(D23=0,"-",E23/D23)</f>
        <v>0.0416666666666667</v>
      </c>
      <c r="H23" s="16" t="n">
        <v>1230</v>
      </c>
      <c r="I23" s="16" t="n">
        <v>1200</v>
      </c>
      <c r="J23" s="17" t="n">
        <f aca="false">H23-I23</f>
        <v>30</v>
      </c>
      <c r="K23" s="18" t="n">
        <f aca="false">IF(I23=0,"-",J23/I23)</f>
        <v>0.025</v>
      </c>
    </row>
    <row r="24" customFormat="false" ht="15" hidden="false" customHeight="false" outlineLevel="0" collapsed="false">
      <c r="B24" s="22" t="s">
        <v>38</v>
      </c>
      <c r="C24" s="20" t="n">
        <f aca="false">C21+C22+C23</f>
        <v>1380</v>
      </c>
      <c r="D24" s="20" t="n">
        <f aca="false">D21+D22+D23</f>
        <v>1320</v>
      </c>
      <c r="E24" s="20" t="n">
        <f aca="false">C24-D24</f>
        <v>60</v>
      </c>
      <c r="F24" s="21" t="n">
        <f aca="false">IF(D24=0,"-",E24/D24)</f>
        <v>0.0454545454545455</v>
      </c>
      <c r="H24" s="20" t="n">
        <f aca="false">H21+H22+H23</f>
        <v>6770</v>
      </c>
      <c r="I24" s="20" t="n">
        <f aca="false">I21+I22+I23</f>
        <v>6600</v>
      </c>
      <c r="J24" s="20" t="n">
        <f aca="false">H24-I24</f>
        <v>170</v>
      </c>
      <c r="K24" s="21" t="n">
        <f aca="false">IF(I24=0,"-",J24/I24)</f>
        <v>0.0257575757575758</v>
      </c>
    </row>
    <row r="26" customFormat="false" ht="15" hidden="false" customHeight="false" outlineLevel="0" collapsed="false">
      <c r="B26" s="19" t="s">
        <v>39</v>
      </c>
      <c r="C26" s="25" t="n">
        <f aca="false">C17-C24</f>
        <v>290</v>
      </c>
      <c r="D26" s="25" t="n">
        <f aca="false">D17-D24</f>
        <v>670</v>
      </c>
      <c r="E26" s="26" t="n">
        <f aca="false">C26-D26</f>
        <v>-380</v>
      </c>
      <c r="F26" s="27" t="n">
        <f aca="false">IF(D26=0,"-",E26/D26)</f>
        <v>-0.567164179104478</v>
      </c>
      <c r="H26" s="25" t="n">
        <f aca="false">H17-H24</f>
        <v>1870</v>
      </c>
      <c r="I26" s="25" t="n">
        <f aca="false">I17-I24</f>
        <v>3370</v>
      </c>
      <c r="J26" s="26" t="n">
        <f aca="false">H26-I26</f>
        <v>-1500</v>
      </c>
      <c r="K26" s="27" t="n">
        <f aca="false">IF(I26=0,"-",J26/I26)</f>
        <v>-0.445103857566766</v>
      </c>
    </row>
    <row r="27" customFormat="false" ht="15" hidden="false" customHeight="false" outlineLevel="0" collapsed="false">
      <c r="B27" s="15" t="s">
        <v>40</v>
      </c>
      <c r="C27" s="24" t="n">
        <f aca="false">IF(C10=0,"-",C26/C10)</f>
        <v>0.0535055350553506</v>
      </c>
      <c r="D27" s="24" t="n">
        <f aca="false">IF(D10=0,"-",D26/D10)</f>
        <v>0.119642857142857</v>
      </c>
      <c r="H27" s="24" t="n">
        <f aca="false">IF(H10=0,"-",H26/H10)</f>
        <v>0.0694908955778521</v>
      </c>
      <c r="I27" s="24" t="n">
        <f aca="false">IF(I10=0,"-",I26/I10)</f>
        <v>0.121223021582734</v>
      </c>
    </row>
    <row r="29" customFormat="false" ht="15" hidden="false" customHeight="false" outlineLevel="0" collapsed="false">
      <c r="B29" s="28" t="s">
        <v>41</v>
      </c>
    </row>
  </sheetData>
  <mergeCells count="3">
    <mergeCell ref="B2:K2"/>
    <mergeCell ref="C4:F4"/>
    <mergeCell ref="H4:K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4"/>
    <col collapsed="false" customWidth="true" hidden="false" outlineLevel="0" max="4" min="3" style="1" width="14"/>
    <col collapsed="false" customWidth="true" hidden="false" outlineLevel="0" max="5" min="5" style="1" width="12"/>
    <col collapsed="false" customWidth="true" hidden="false" outlineLevel="0" max="6" min="6" style="1" width="16"/>
    <col collapsed="false" customWidth="true" hidden="false" outlineLevel="0" max="7" min="7" style="1" width="3"/>
    <col collapsed="false" customWidth="true" hidden="false" outlineLevel="0" max="8" min="8" style="1" width="24"/>
    <col collapsed="false" customWidth="true" hidden="false" outlineLevel="0" max="9" min="9" style="1" width="2"/>
    <col collapsed="false" customWidth="true" hidden="false" outlineLevel="0" max="10" min="10" style="1" width="8"/>
  </cols>
  <sheetData>
    <row r="2" customFormat="false" ht="17.35" hidden="false" customHeight="false" outlineLevel="0" collapsed="false">
      <c r="B2" s="9" t="s">
        <v>42</v>
      </c>
      <c r="C2" s="9"/>
      <c r="D2" s="9"/>
      <c r="E2" s="9"/>
      <c r="F2" s="9"/>
    </row>
    <row r="3" customFormat="false" ht="15" hidden="false" customHeight="false" outlineLevel="0" collapsed="false">
      <c r="B3" s="10" t="s">
        <v>43</v>
      </c>
    </row>
    <row r="5" customFormat="false" ht="15" hidden="false" customHeight="false" outlineLevel="0" collapsed="false">
      <c r="B5" s="29" t="s">
        <v>44</v>
      </c>
      <c r="C5" s="30"/>
      <c r="D5" s="30"/>
      <c r="E5" s="30"/>
      <c r="F5" s="30"/>
    </row>
    <row r="6" customFormat="false" ht="15" hidden="false" customHeight="false" outlineLevel="0" collapsed="false">
      <c r="B6" s="12" t="s">
        <v>45</v>
      </c>
      <c r="C6" s="13" t="s">
        <v>18</v>
      </c>
      <c r="D6" s="13" t="s">
        <v>19</v>
      </c>
      <c r="E6" s="13" t="s">
        <v>46</v>
      </c>
      <c r="F6" s="31" t="s">
        <v>47</v>
      </c>
      <c r="H6" s="19" t="s">
        <v>48</v>
      </c>
    </row>
    <row r="7" customFormat="false" ht="15" hidden="false" customHeight="false" outlineLevel="0" collapsed="false">
      <c r="B7" s="15" t="s">
        <v>49</v>
      </c>
      <c r="C7" s="32" t="n">
        <v>18200</v>
      </c>
      <c r="D7" s="32" t="n">
        <v>18600</v>
      </c>
      <c r="E7" s="33" t="n">
        <f aca="false">C7-D7</f>
        <v>-400</v>
      </c>
      <c r="F7" s="34" t="str">
        <f aca="false">IF(C7&lt;D7*0.98,"Watch","On track")</f>
        <v>Watch</v>
      </c>
      <c r="H7" s="35" t="s">
        <v>50</v>
      </c>
      <c r="J7" s="36" t="n">
        <v>30</v>
      </c>
    </row>
    <row r="8" customFormat="false" ht="15" hidden="false" customHeight="false" outlineLevel="0" collapsed="false">
      <c r="B8" s="15" t="s">
        <v>51</v>
      </c>
      <c r="C8" s="32" t="n">
        <v>14500</v>
      </c>
      <c r="D8" s="32" t="n">
        <v>14600</v>
      </c>
      <c r="E8" s="33" t="n">
        <f aca="false">C8-D8</f>
        <v>-100</v>
      </c>
      <c r="F8" s="34" t="str">
        <f aca="false">IF(C8&lt;D8*0.98,"Watch","On track")</f>
        <v>On track</v>
      </c>
    </row>
    <row r="9" customFormat="false" ht="15" hidden="false" customHeight="false" outlineLevel="0" collapsed="false">
      <c r="B9" s="15" t="s">
        <v>52</v>
      </c>
      <c r="C9" s="32" t="n">
        <v>1120</v>
      </c>
      <c r="D9" s="32" t="n">
        <v>1200</v>
      </c>
      <c r="E9" s="33" t="n">
        <f aca="false">C9-D9</f>
        <v>-80</v>
      </c>
      <c r="F9" s="34" t="str">
        <f aca="false">IF(C9&lt;D9*0.98,"Watch","On track")</f>
        <v>Watch</v>
      </c>
    </row>
    <row r="10" customFormat="false" ht="15" hidden="false" customHeight="false" outlineLevel="0" collapsed="false">
      <c r="B10" s="15" t="s">
        <v>53</v>
      </c>
      <c r="C10" s="36" t="n">
        <v>12</v>
      </c>
      <c r="D10" s="36" t="n">
        <v>12</v>
      </c>
      <c r="E10" s="37" t="n">
        <f aca="false">C10-D10</f>
        <v>0</v>
      </c>
      <c r="F10" s="34" t="str">
        <f aca="false">IF(C10&lt;D10*0.98,"Watch","On track")</f>
        <v>On track</v>
      </c>
    </row>
    <row r="12" customFormat="false" ht="15" hidden="false" customHeight="false" outlineLevel="0" collapsed="false">
      <c r="B12" s="29" t="s">
        <v>54</v>
      </c>
      <c r="C12" s="30"/>
      <c r="D12" s="30"/>
      <c r="E12" s="30"/>
      <c r="F12" s="30"/>
    </row>
    <row r="13" customFormat="false" ht="15" hidden="false" customHeight="false" outlineLevel="0" collapsed="false">
      <c r="B13" s="12" t="s">
        <v>45</v>
      </c>
      <c r="C13" s="13" t="s">
        <v>18</v>
      </c>
      <c r="D13" s="13" t="s">
        <v>19</v>
      </c>
      <c r="E13" s="13" t="s">
        <v>46</v>
      </c>
      <c r="F13" s="31" t="s">
        <v>55</v>
      </c>
    </row>
    <row r="14" customFormat="false" ht="15" hidden="false" customHeight="false" outlineLevel="0" collapsed="false">
      <c r="B14" s="15" t="s">
        <v>56</v>
      </c>
      <c r="C14" s="38" t="n">
        <f aca="false">'P&amp;L'!C10*1000/C7</f>
        <v>297.802197802198</v>
      </c>
      <c r="D14" s="38" t="n">
        <f aca="false">'P&amp;L'!D10*1000/D7</f>
        <v>301.075268817204</v>
      </c>
      <c r="E14" s="38" t="n">
        <f aca="false">C14-D14</f>
        <v>-3.27307101500651</v>
      </c>
      <c r="F14" s="39" t="s">
        <v>57</v>
      </c>
    </row>
    <row r="15" customFormat="false" ht="15" hidden="false" customHeight="false" outlineLevel="0" collapsed="false">
      <c r="B15" s="15" t="s">
        <v>58</v>
      </c>
      <c r="C15" s="38" t="n">
        <f aca="false">'P&amp;L'!C16*1000/C7</f>
        <v>206.043956043956</v>
      </c>
      <c r="D15" s="38" t="n">
        <f aca="false">'P&amp;L'!D16*1000/D7</f>
        <v>194.086021505376</v>
      </c>
      <c r="E15" s="38" t="n">
        <f aca="false">C15-D15</f>
        <v>11.9579345385797</v>
      </c>
      <c r="F15" s="39" t="s">
        <v>57</v>
      </c>
    </row>
    <row r="16" customFormat="false" ht="15" hidden="false" customHeight="false" outlineLevel="0" collapsed="false">
      <c r="B16" s="15" t="s">
        <v>59</v>
      </c>
      <c r="C16" s="40" t="n">
        <f aca="false">C14-C15</f>
        <v>91.7582417582417</v>
      </c>
      <c r="D16" s="40" t="n">
        <f aca="false">D14-D15</f>
        <v>106.989247311828</v>
      </c>
      <c r="E16" s="40" t="n">
        <f aca="false">C16-D16</f>
        <v>-15.2310055535862</v>
      </c>
      <c r="F16" s="39" t="s">
        <v>57</v>
      </c>
    </row>
    <row r="17" customFormat="false" ht="15" hidden="false" customHeight="false" outlineLevel="0" collapsed="false">
      <c r="B17" s="15" t="s">
        <v>60</v>
      </c>
      <c r="C17" s="38" t="n">
        <f aca="false">'P&amp;L'!C10*1000/C8</f>
        <v>373.793103448276</v>
      </c>
      <c r="D17" s="38" t="n">
        <f aca="false">'P&amp;L'!D10*1000/D8</f>
        <v>383.561643835616</v>
      </c>
      <c r="E17" s="38" t="n">
        <f aca="false">C17-D17</f>
        <v>-9.76854038734058</v>
      </c>
      <c r="F17" s="39" t="s">
        <v>61</v>
      </c>
    </row>
    <row r="18" customFormat="false" ht="15" hidden="false" customHeight="false" outlineLevel="0" collapsed="false">
      <c r="B18" s="15" t="s">
        <v>62</v>
      </c>
      <c r="C18" s="38" t="n">
        <f aca="false">'P&amp;L'!C21*1000/C9</f>
        <v>366.071428571429</v>
      </c>
      <c r="D18" s="38" t="n">
        <f aca="false">'P&amp;L'!D21*1000/D9</f>
        <v>316.666666666667</v>
      </c>
      <c r="E18" s="38" t="n">
        <f aca="false">C18-D18</f>
        <v>49.4047619047619</v>
      </c>
      <c r="F18" s="39" t="s">
        <v>63</v>
      </c>
    </row>
    <row r="19" customFormat="false" ht="15" hidden="false" customHeight="false" outlineLevel="0" collapsed="false">
      <c r="B19" s="15" t="s">
        <v>64</v>
      </c>
      <c r="C19" s="41" t="n">
        <f aca="false">C17*'P&amp;L'!C17/'P&amp;L'!C10*$J$7</f>
        <v>3455.1724137931</v>
      </c>
      <c r="D19" s="41" t="n">
        <f aca="false">D17*'P&amp;L'!D17/'P&amp;L'!D10*$J$7</f>
        <v>4089.04109589041</v>
      </c>
      <c r="E19" s="41" t="n">
        <f aca="false">C19-D19</f>
        <v>-633.868682097307</v>
      </c>
      <c r="F19" s="39" t="s">
        <v>65</v>
      </c>
    </row>
    <row r="20" customFormat="false" ht="15" hidden="false" customHeight="false" outlineLevel="0" collapsed="false">
      <c r="B20" s="15" t="s">
        <v>66</v>
      </c>
      <c r="C20" s="42" t="n">
        <f aca="false">C19/C18</f>
        <v>9.43851976450799</v>
      </c>
      <c r="D20" s="42" t="n">
        <f aca="false">D19/D18</f>
        <v>12.9127613554434</v>
      </c>
      <c r="E20" s="42" t="n">
        <f aca="false">C20-D20</f>
        <v>-3.47424159093541</v>
      </c>
      <c r="F20" s="39" t="s">
        <v>67</v>
      </c>
    </row>
    <row r="21" customFormat="false" ht="15" hidden="false" customHeight="false" outlineLevel="0" collapsed="false">
      <c r="B21" s="15" t="s">
        <v>68</v>
      </c>
      <c r="C21" s="17" t="n">
        <f aca="false">'P&amp;L'!C10/C10</f>
        <v>451.666666666667</v>
      </c>
      <c r="D21" s="17" t="n">
        <f aca="false">'P&amp;L'!D10/D10</f>
        <v>466.666666666667</v>
      </c>
      <c r="E21" s="17" t="n">
        <f aca="false">C21-D21</f>
        <v>-15</v>
      </c>
      <c r="F21" s="39" t="s">
        <v>69</v>
      </c>
    </row>
    <row r="23" customFormat="false" ht="15" hidden="false" customHeight="false" outlineLevel="0" collapsed="false">
      <c r="B23" s="28" t="s">
        <v>70</v>
      </c>
    </row>
  </sheetData>
  <mergeCells count="1">
    <mergeCell ref="B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AA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4"/>
    <col collapsed="false" customWidth="true" hidden="false" outlineLevel="0" max="27" min="3" style="1" width="7.5"/>
  </cols>
  <sheetData>
    <row r="2" customFormat="false" ht="17.35" hidden="false" customHeight="false" outlineLevel="0" collapsed="false">
      <c r="B2" s="9" t="s">
        <v>71</v>
      </c>
      <c r="C2" s="9"/>
      <c r="D2" s="9"/>
      <c r="E2" s="9"/>
      <c r="F2" s="9"/>
      <c r="G2" s="9"/>
      <c r="H2" s="9"/>
      <c r="I2" s="9"/>
      <c r="J2" s="9"/>
    </row>
    <row r="3" customFormat="false" ht="15" hidden="false" customHeight="false" outlineLevel="0" collapsed="false">
      <c r="B3" s="10" t="s">
        <v>72</v>
      </c>
    </row>
    <row r="5" customFormat="false" ht="27.75" hidden="false" customHeight="true" outlineLevel="0" collapsed="false">
      <c r="B5" s="43" t="s">
        <v>73</v>
      </c>
      <c r="C5" s="44" t="s">
        <v>74</v>
      </c>
      <c r="D5" s="44" t="s">
        <v>75</v>
      </c>
      <c r="E5" s="45" t="s">
        <v>76</v>
      </c>
      <c r="F5" s="45" t="s">
        <v>77</v>
      </c>
      <c r="G5" s="45" t="s">
        <v>78</v>
      </c>
      <c r="H5" s="45" t="s">
        <v>79</v>
      </c>
      <c r="I5" s="45" t="s">
        <v>80</v>
      </c>
      <c r="J5" s="44" t="s">
        <v>81</v>
      </c>
    </row>
    <row r="6" customFormat="false" ht="15" hidden="false" customHeight="false" outlineLevel="0" collapsed="false">
      <c r="B6" s="15" t="s">
        <v>82</v>
      </c>
      <c r="C6" s="46" t="n">
        <v>1</v>
      </c>
      <c r="D6" s="46" t="n">
        <v>0</v>
      </c>
      <c r="E6" s="16" t="n">
        <v>2400</v>
      </c>
      <c r="F6" s="47" t="n">
        <v>0.018</v>
      </c>
      <c r="G6" s="47" t="n">
        <v>0.32</v>
      </c>
      <c r="H6" s="16" t="n">
        <v>0</v>
      </c>
      <c r="I6" s="16" t="n">
        <v>0</v>
      </c>
      <c r="J6" s="46" t="n">
        <v>0</v>
      </c>
    </row>
    <row r="7" customFormat="false" ht="15" hidden="false" customHeight="false" outlineLevel="0" collapsed="false">
      <c r="B7" s="15" t="s">
        <v>83</v>
      </c>
      <c r="C7" s="46" t="n">
        <v>1</v>
      </c>
      <c r="D7" s="46" t="n">
        <v>0</v>
      </c>
      <c r="E7" s="16" t="n">
        <v>1900</v>
      </c>
      <c r="F7" s="47" t="n">
        <v>0.02</v>
      </c>
      <c r="G7" s="47" t="n">
        <v>0.305</v>
      </c>
      <c r="H7" s="16" t="n">
        <v>0</v>
      </c>
      <c r="I7" s="16" t="n">
        <v>0</v>
      </c>
      <c r="J7" s="46" t="n">
        <v>0</v>
      </c>
    </row>
    <row r="8" customFormat="false" ht="15" hidden="false" customHeight="false" outlineLevel="0" collapsed="false">
      <c r="B8" s="15" t="s">
        <v>84</v>
      </c>
      <c r="C8" s="46" t="n">
        <v>1</v>
      </c>
      <c r="D8" s="46" t="n">
        <v>0</v>
      </c>
      <c r="E8" s="16" t="n">
        <v>1120</v>
      </c>
      <c r="F8" s="47" t="n">
        <v>0.022</v>
      </c>
      <c r="G8" s="47" t="n">
        <v>0.29</v>
      </c>
      <c r="H8" s="16" t="n">
        <v>0</v>
      </c>
      <c r="I8" s="16" t="n">
        <v>0</v>
      </c>
      <c r="J8" s="46" t="n">
        <v>0</v>
      </c>
    </row>
    <row r="9" customFormat="false" ht="15" hidden="false" customHeight="false" outlineLevel="0" collapsed="false">
      <c r="B9" s="48" t="s">
        <v>85</v>
      </c>
      <c r="C9" s="49" t="n">
        <v>0</v>
      </c>
      <c r="D9" s="46" t="n">
        <v>6</v>
      </c>
      <c r="E9" s="16" t="n">
        <v>800</v>
      </c>
      <c r="F9" s="47" t="n">
        <v>0.04</v>
      </c>
      <c r="G9" s="47" t="n">
        <v>0.29</v>
      </c>
      <c r="H9" s="16" t="n">
        <v>1800</v>
      </c>
      <c r="I9" s="16" t="n">
        <v>650</v>
      </c>
      <c r="J9" s="46" t="n">
        <v>8</v>
      </c>
    </row>
    <row r="10" customFormat="false" ht="15" hidden="false" customHeight="false" outlineLevel="0" collapsed="false">
      <c r="B10" s="48" t="s">
        <v>86</v>
      </c>
      <c r="C10" s="49" t="n">
        <v>0</v>
      </c>
      <c r="D10" s="46" t="n">
        <v>9</v>
      </c>
      <c r="E10" s="16" t="n">
        <v>700</v>
      </c>
      <c r="F10" s="47" t="n">
        <v>0.04</v>
      </c>
      <c r="G10" s="47" t="n">
        <v>0.29</v>
      </c>
      <c r="H10" s="16" t="n">
        <v>1600</v>
      </c>
      <c r="I10" s="16" t="n">
        <v>600</v>
      </c>
      <c r="J10" s="46" t="n">
        <v>8</v>
      </c>
    </row>
    <row r="11" customFormat="false" ht="15" hidden="false" customHeight="false" outlineLevel="0" collapsed="false">
      <c r="B11" s="50" t="s">
        <v>87</v>
      </c>
      <c r="C11" s="51" t="n">
        <f aca="false">SUM(C6:C10)</f>
        <v>3</v>
      </c>
      <c r="E11" s="20" t="n">
        <f aca="false">SUMPRODUCT(C6:C10,E6:E10)</f>
        <v>5420</v>
      </c>
    </row>
    <row r="13" customFormat="false" ht="15" hidden="false" customHeight="false" outlineLevel="0" collapsed="false">
      <c r="B13" s="52" t="s">
        <v>88</v>
      </c>
      <c r="C13" s="53" t="s">
        <v>89</v>
      </c>
      <c r="D13" s="53" t="s">
        <v>90</v>
      </c>
      <c r="E13" s="53" t="s">
        <v>91</v>
      </c>
      <c r="F13" s="53" t="s">
        <v>92</v>
      </c>
      <c r="G13" s="53" t="s">
        <v>93</v>
      </c>
      <c r="H13" s="53" t="s">
        <v>94</v>
      </c>
      <c r="I13" s="53" t="s">
        <v>95</v>
      </c>
      <c r="J13" s="53" t="s">
        <v>96</v>
      </c>
      <c r="K13" s="53" t="s">
        <v>97</v>
      </c>
      <c r="L13" s="53" t="s">
        <v>98</v>
      </c>
      <c r="M13" s="53" t="s">
        <v>99</v>
      </c>
      <c r="N13" s="53" t="s">
        <v>100</v>
      </c>
      <c r="O13" s="53" t="s">
        <v>101</v>
      </c>
      <c r="P13" s="53" t="s">
        <v>102</v>
      </c>
      <c r="Q13" s="53" t="s">
        <v>103</v>
      </c>
      <c r="R13" s="53" t="s">
        <v>104</v>
      </c>
      <c r="S13" s="53" t="s">
        <v>105</v>
      </c>
      <c r="T13" s="53" t="s">
        <v>106</v>
      </c>
      <c r="U13" s="53" t="s">
        <v>107</v>
      </c>
      <c r="V13" s="53" t="s">
        <v>108</v>
      </c>
      <c r="W13" s="53" t="s">
        <v>109</v>
      </c>
      <c r="X13" s="53" t="s">
        <v>110</v>
      </c>
      <c r="Y13" s="53" t="s">
        <v>111</v>
      </c>
      <c r="Z13" s="53" t="s">
        <v>112</v>
      </c>
      <c r="AA13" s="53" t="s">
        <v>113</v>
      </c>
    </row>
    <row r="14" customFormat="false" ht="15" hidden="false" customHeight="false" outlineLevel="0" collapsed="false">
      <c r="B14" s="54" t="s">
        <v>82</v>
      </c>
      <c r="C14" s="55" t="n">
        <f aca="false">IF(AND($C$6=1,(COLUMN()-3)&gt;=$D$6),$E$6*(1+$F$6)^((COLUMN()-3)-$D$6),0)</f>
        <v>2400</v>
      </c>
      <c r="D14" s="55" t="n">
        <f aca="false">IF(AND($C$6=1,(COLUMN()-3)&gt;=$D$6),$E$6*(1+$F$6)^((COLUMN()-3)-$D$6),0)</f>
        <v>2443.2</v>
      </c>
      <c r="E14" s="55" t="n">
        <f aca="false">IF(AND($C$6=1,(COLUMN()-3)&gt;=$D$6),$E$6*(1+$F$6)^((COLUMN()-3)-$D$6),0)</f>
        <v>2487.1776</v>
      </c>
      <c r="F14" s="55" t="n">
        <f aca="false">IF(AND($C$6=1,(COLUMN()-3)&gt;=$D$6),$E$6*(1+$F$6)^((COLUMN()-3)-$D$6),0)</f>
        <v>2531.9467968</v>
      </c>
      <c r="G14" s="55" t="n">
        <f aca="false">IF(AND($C$6=1,(COLUMN()-3)&gt;=$D$6),$E$6*(1+$F$6)^((COLUMN()-3)-$D$6),0)</f>
        <v>2577.5218391424</v>
      </c>
      <c r="H14" s="55" t="n">
        <f aca="false">IF(AND($C$6=1,(COLUMN()-3)&gt;=$D$6),$E$6*(1+$F$6)^((COLUMN()-3)-$D$6),0)</f>
        <v>2623.91723224696</v>
      </c>
      <c r="I14" s="55" t="n">
        <f aca="false">IF(AND($C$6=1,(COLUMN()-3)&gt;=$D$6),$E$6*(1+$F$6)^((COLUMN()-3)-$D$6),0)</f>
        <v>2671.14774242741</v>
      </c>
      <c r="J14" s="55" t="n">
        <f aca="false">IF(AND($C$6=1,(COLUMN()-3)&gt;=$D$6),$E$6*(1+$F$6)^((COLUMN()-3)-$D$6),0)</f>
        <v>2719.2284017911</v>
      </c>
      <c r="K14" s="55" t="n">
        <f aca="false">IF(AND($C$6=1,(COLUMN()-3)&gt;=$D$6),$E$6*(1+$F$6)^((COLUMN()-3)-$D$6),0)</f>
        <v>2768.17451302334</v>
      </c>
      <c r="L14" s="55" t="n">
        <f aca="false">IF(AND($C$6=1,(COLUMN()-3)&gt;=$D$6),$E$6*(1+$F$6)^((COLUMN()-3)-$D$6),0)</f>
        <v>2818.00165425776</v>
      </c>
      <c r="M14" s="55" t="n">
        <f aca="false">IF(AND($C$6=1,(COLUMN()-3)&gt;=$D$6),$E$6*(1+$F$6)^((COLUMN()-3)-$D$6),0)</f>
        <v>2868.7256840344</v>
      </c>
      <c r="N14" s="55" t="n">
        <f aca="false">IF(AND($C$6=1,(COLUMN()-3)&gt;=$D$6),$E$6*(1+$F$6)^((COLUMN()-3)-$D$6),0)</f>
        <v>2920.36274634702</v>
      </c>
      <c r="O14" s="55" t="n">
        <f aca="false">IF(AND($C$6=1,(COLUMN()-3)&gt;=$D$6),$E$6*(1+$F$6)^((COLUMN()-3)-$D$6),0)</f>
        <v>2972.92927578127</v>
      </c>
      <c r="P14" s="55" t="n">
        <f aca="false">IF(AND($C$6=1,(COLUMN()-3)&gt;=$D$6),$E$6*(1+$F$6)^((COLUMN()-3)-$D$6),0)</f>
        <v>3026.44200274533</v>
      </c>
      <c r="Q14" s="55" t="n">
        <f aca="false">IF(AND($C$6=1,(COLUMN()-3)&gt;=$D$6),$E$6*(1+$F$6)^((COLUMN()-3)-$D$6),0)</f>
        <v>3080.91795879475</v>
      </c>
      <c r="R14" s="55" t="n">
        <f aca="false">IF(AND($C$6=1,(COLUMN()-3)&gt;=$D$6),$E$6*(1+$F$6)^((COLUMN()-3)-$D$6),0)</f>
        <v>3136.37448205305</v>
      </c>
      <c r="S14" s="55" t="n">
        <f aca="false">IF(AND($C$6=1,(COLUMN()-3)&gt;=$D$6),$E$6*(1+$F$6)^((COLUMN()-3)-$D$6),0)</f>
        <v>3192.82922273001</v>
      </c>
      <c r="T14" s="55" t="n">
        <f aca="false">IF(AND($C$6=1,(COLUMN()-3)&gt;=$D$6),$E$6*(1+$F$6)^((COLUMN()-3)-$D$6),0)</f>
        <v>3250.30014873915</v>
      </c>
      <c r="U14" s="55" t="n">
        <f aca="false">IF(AND($C$6=1,(COLUMN()-3)&gt;=$D$6),$E$6*(1+$F$6)^((COLUMN()-3)-$D$6),0)</f>
        <v>3308.80555141645</v>
      </c>
      <c r="V14" s="55" t="n">
        <f aca="false">IF(AND($C$6=1,(COLUMN()-3)&gt;=$D$6),$E$6*(1+$F$6)^((COLUMN()-3)-$D$6),0)</f>
        <v>3368.36405134195</v>
      </c>
      <c r="W14" s="55" t="n">
        <f aca="false">IF(AND($C$6=1,(COLUMN()-3)&gt;=$D$6),$E$6*(1+$F$6)^((COLUMN()-3)-$D$6),0)</f>
        <v>3428.9946042661</v>
      </c>
      <c r="X14" s="55" t="n">
        <f aca="false">IF(AND($C$6=1,(COLUMN()-3)&gt;=$D$6),$E$6*(1+$F$6)^((COLUMN()-3)-$D$6),0)</f>
        <v>3490.71650714289</v>
      </c>
      <c r="Y14" s="55" t="n">
        <f aca="false">IF(AND($C$6=1,(COLUMN()-3)&gt;=$D$6),$E$6*(1+$F$6)^((COLUMN()-3)-$D$6),0)</f>
        <v>3553.54940427147</v>
      </c>
      <c r="Z14" s="55" t="n">
        <f aca="false">IF(AND($C$6=1,(COLUMN()-3)&gt;=$D$6),$E$6*(1+$F$6)^((COLUMN()-3)-$D$6),0)</f>
        <v>3617.51329354835</v>
      </c>
      <c r="AA14" s="55" t="n">
        <f aca="false">IF(AND($C$6=1,(COLUMN()-3)&gt;=$D$6),$E$6*(1+$F$6)^((COLUMN()-3)-$D$6),0)</f>
        <v>3682.62853283222</v>
      </c>
    </row>
    <row r="15" customFormat="false" ht="15" hidden="false" customHeight="false" outlineLevel="0" collapsed="false">
      <c r="B15" s="54" t="s">
        <v>83</v>
      </c>
      <c r="C15" s="55" t="n">
        <f aca="false">IF(AND($C$7=1,(COLUMN()-3)&gt;=$D$7),$E$7*(1+$F$7)^((COLUMN()-3)-$D$7),0)</f>
        <v>1900</v>
      </c>
      <c r="D15" s="55" t="n">
        <f aca="false">IF(AND($C$7=1,(COLUMN()-3)&gt;=$D$7),$E$7*(1+$F$7)^((COLUMN()-3)-$D$7),0)</f>
        <v>1938</v>
      </c>
      <c r="E15" s="55" t="n">
        <f aca="false">IF(AND($C$7=1,(COLUMN()-3)&gt;=$D$7),$E$7*(1+$F$7)^((COLUMN()-3)-$D$7),0)</f>
        <v>1976.76</v>
      </c>
      <c r="F15" s="55" t="n">
        <f aca="false">IF(AND($C$7=1,(COLUMN()-3)&gt;=$D$7),$E$7*(1+$F$7)^((COLUMN()-3)-$D$7),0)</f>
        <v>2016.2952</v>
      </c>
      <c r="G15" s="55" t="n">
        <f aca="false">IF(AND($C$7=1,(COLUMN()-3)&gt;=$D$7),$E$7*(1+$F$7)^((COLUMN()-3)-$D$7),0)</f>
        <v>2056.621104</v>
      </c>
      <c r="H15" s="55" t="n">
        <f aca="false">IF(AND($C$7=1,(COLUMN()-3)&gt;=$D$7),$E$7*(1+$F$7)^((COLUMN()-3)-$D$7),0)</f>
        <v>2097.75352608</v>
      </c>
      <c r="I15" s="55" t="n">
        <f aca="false">IF(AND($C$7=1,(COLUMN()-3)&gt;=$D$7),$E$7*(1+$F$7)^((COLUMN()-3)-$D$7),0)</f>
        <v>2139.7085966016</v>
      </c>
      <c r="J15" s="55" t="n">
        <f aca="false">IF(AND($C$7=1,(COLUMN()-3)&gt;=$D$7),$E$7*(1+$F$7)^((COLUMN()-3)-$D$7),0)</f>
        <v>2182.50276853363</v>
      </c>
      <c r="K15" s="55" t="n">
        <f aca="false">IF(AND($C$7=1,(COLUMN()-3)&gt;=$D$7),$E$7*(1+$F$7)^((COLUMN()-3)-$D$7),0)</f>
        <v>2226.15282390431</v>
      </c>
      <c r="L15" s="55" t="n">
        <f aca="false">IF(AND($C$7=1,(COLUMN()-3)&gt;=$D$7),$E$7*(1+$F$7)^((COLUMN()-3)-$D$7),0)</f>
        <v>2270.67588038239</v>
      </c>
      <c r="M15" s="55" t="n">
        <f aca="false">IF(AND($C$7=1,(COLUMN()-3)&gt;=$D$7),$E$7*(1+$F$7)^((COLUMN()-3)-$D$7),0)</f>
        <v>2316.08939799004</v>
      </c>
      <c r="N15" s="55" t="n">
        <f aca="false">IF(AND($C$7=1,(COLUMN()-3)&gt;=$D$7),$E$7*(1+$F$7)^((COLUMN()-3)-$D$7),0)</f>
        <v>2362.41118594984</v>
      </c>
      <c r="O15" s="55" t="n">
        <f aca="false">IF(AND($C$7=1,(COLUMN()-3)&gt;=$D$7),$E$7*(1+$F$7)^((COLUMN()-3)-$D$7),0)</f>
        <v>2409.65940966884</v>
      </c>
      <c r="P15" s="55" t="n">
        <f aca="false">IF(AND($C$7=1,(COLUMN()-3)&gt;=$D$7),$E$7*(1+$F$7)^((COLUMN()-3)-$D$7),0)</f>
        <v>2457.85259786221</v>
      </c>
      <c r="Q15" s="55" t="n">
        <f aca="false">IF(AND($C$7=1,(COLUMN()-3)&gt;=$D$7),$E$7*(1+$F$7)^((COLUMN()-3)-$D$7),0)</f>
        <v>2507.00964981946</v>
      </c>
      <c r="R15" s="55" t="n">
        <f aca="false">IF(AND($C$7=1,(COLUMN()-3)&gt;=$D$7),$E$7*(1+$F$7)^((COLUMN()-3)-$D$7),0)</f>
        <v>2557.14984281585</v>
      </c>
      <c r="S15" s="55" t="n">
        <f aca="false">IF(AND($C$7=1,(COLUMN()-3)&gt;=$D$7),$E$7*(1+$F$7)^((COLUMN()-3)-$D$7),0)</f>
        <v>2608.29283967216</v>
      </c>
      <c r="T15" s="55" t="n">
        <f aca="false">IF(AND($C$7=1,(COLUMN()-3)&gt;=$D$7),$E$7*(1+$F$7)^((COLUMN()-3)-$D$7),0)</f>
        <v>2660.45869646561</v>
      </c>
      <c r="U15" s="55" t="n">
        <f aca="false">IF(AND($C$7=1,(COLUMN()-3)&gt;=$D$7),$E$7*(1+$F$7)^((COLUMN()-3)-$D$7),0)</f>
        <v>2713.66787039492</v>
      </c>
      <c r="V15" s="55" t="n">
        <f aca="false">IF(AND($C$7=1,(COLUMN()-3)&gt;=$D$7),$E$7*(1+$F$7)^((COLUMN()-3)-$D$7),0)</f>
        <v>2767.94122780282</v>
      </c>
      <c r="W15" s="55" t="n">
        <f aca="false">IF(AND($C$7=1,(COLUMN()-3)&gt;=$D$7),$E$7*(1+$F$7)^((COLUMN()-3)-$D$7),0)</f>
        <v>2823.30005235887</v>
      </c>
      <c r="X15" s="55" t="n">
        <f aca="false">IF(AND($C$7=1,(COLUMN()-3)&gt;=$D$7),$E$7*(1+$F$7)^((COLUMN()-3)-$D$7),0)</f>
        <v>2879.76605340605</v>
      </c>
      <c r="Y15" s="55" t="n">
        <f aca="false">IF(AND($C$7=1,(COLUMN()-3)&gt;=$D$7),$E$7*(1+$F$7)^((COLUMN()-3)-$D$7),0)</f>
        <v>2937.36137447417</v>
      </c>
      <c r="Z15" s="55" t="n">
        <f aca="false">IF(AND($C$7=1,(COLUMN()-3)&gt;=$D$7),$E$7*(1+$F$7)^((COLUMN()-3)-$D$7),0)</f>
        <v>2996.10860196366</v>
      </c>
      <c r="AA15" s="55" t="n">
        <f aca="false">IF(AND($C$7=1,(COLUMN()-3)&gt;=$D$7),$E$7*(1+$F$7)^((COLUMN()-3)-$D$7),0)</f>
        <v>3056.03077400293</v>
      </c>
    </row>
    <row r="16" customFormat="false" ht="15" hidden="false" customHeight="false" outlineLevel="0" collapsed="false">
      <c r="B16" s="54" t="s">
        <v>84</v>
      </c>
      <c r="C16" s="55" t="n">
        <f aca="false">IF(AND($C$8=1,(COLUMN()-3)&gt;=$D$8),$E$8*(1+$F$8)^((COLUMN()-3)-$D$8),0)</f>
        <v>1120</v>
      </c>
      <c r="D16" s="55" t="n">
        <f aca="false">IF(AND($C$8=1,(COLUMN()-3)&gt;=$D$8),$E$8*(1+$F$8)^((COLUMN()-3)-$D$8),0)</f>
        <v>1144.64</v>
      </c>
      <c r="E16" s="55" t="n">
        <f aca="false">IF(AND($C$8=1,(COLUMN()-3)&gt;=$D$8),$E$8*(1+$F$8)^((COLUMN()-3)-$D$8),0)</f>
        <v>1169.82208</v>
      </c>
      <c r="F16" s="55" t="n">
        <f aca="false">IF(AND($C$8=1,(COLUMN()-3)&gt;=$D$8),$E$8*(1+$F$8)^((COLUMN()-3)-$D$8),0)</f>
        <v>1195.55816576</v>
      </c>
      <c r="G16" s="55" t="n">
        <f aca="false">IF(AND($C$8=1,(COLUMN()-3)&gt;=$D$8),$E$8*(1+$F$8)^((COLUMN()-3)-$D$8),0)</f>
        <v>1221.86044540672</v>
      </c>
      <c r="H16" s="55" t="n">
        <f aca="false">IF(AND($C$8=1,(COLUMN()-3)&gt;=$D$8),$E$8*(1+$F$8)^((COLUMN()-3)-$D$8),0)</f>
        <v>1248.74137520567</v>
      </c>
      <c r="I16" s="55" t="n">
        <f aca="false">IF(AND($C$8=1,(COLUMN()-3)&gt;=$D$8),$E$8*(1+$F$8)^((COLUMN()-3)-$D$8),0)</f>
        <v>1276.21368546019</v>
      </c>
      <c r="J16" s="55" t="n">
        <f aca="false">IF(AND($C$8=1,(COLUMN()-3)&gt;=$D$8),$E$8*(1+$F$8)^((COLUMN()-3)-$D$8),0)</f>
        <v>1304.29038654032</v>
      </c>
      <c r="K16" s="55" t="n">
        <f aca="false">IF(AND($C$8=1,(COLUMN()-3)&gt;=$D$8),$E$8*(1+$F$8)^((COLUMN()-3)-$D$8),0)</f>
        <v>1332.9847750442</v>
      </c>
      <c r="L16" s="55" t="n">
        <f aca="false">IF(AND($C$8=1,(COLUMN()-3)&gt;=$D$8),$E$8*(1+$F$8)^((COLUMN()-3)-$D$8),0)</f>
        <v>1362.31044009518</v>
      </c>
      <c r="M16" s="55" t="n">
        <f aca="false">IF(AND($C$8=1,(COLUMN()-3)&gt;=$D$8),$E$8*(1+$F$8)^((COLUMN()-3)-$D$8),0)</f>
        <v>1392.28126977727</v>
      </c>
      <c r="N16" s="55" t="n">
        <f aca="false">IF(AND($C$8=1,(COLUMN()-3)&gt;=$D$8),$E$8*(1+$F$8)^((COLUMN()-3)-$D$8),0)</f>
        <v>1422.91145771237</v>
      </c>
      <c r="O16" s="55" t="n">
        <f aca="false">IF(AND($C$8=1,(COLUMN()-3)&gt;=$D$8),$E$8*(1+$F$8)^((COLUMN()-3)-$D$8),0)</f>
        <v>1454.21550978204</v>
      </c>
      <c r="P16" s="55" t="n">
        <f aca="false">IF(AND($C$8=1,(COLUMN()-3)&gt;=$D$8),$E$8*(1+$F$8)^((COLUMN()-3)-$D$8),0)</f>
        <v>1486.20825099725</v>
      </c>
      <c r="Q16" s="55" t="n">
        <f aca="false">IF(AND($C$8=1,(COLUMN()-3)&gt;=$D$8),$E$8*(1+$F$8)^((COLUMN()-3)-$D$8),0)</f>
        <v>1518.90483251919</v>
      </c>
      <c r="R16" s="55" t="n">
        <f aca="false">IF(AND($C$8=1,(COLUMN()-3)&gt;=$D$8),$E$8*(1+$F$8)^((COLUMN()-3)-$D$8),0)</f>
        <v>1552.32073883461</v>
      </c>
      <c r="S16" s="55" t="n">
        <f aca="false">IF(AND($C$8=1,(COLUMN()-3)&gt;=$D$8),$E$8*(1+$F$8)^((COLUMN()-3)-$D$8),0)</f>
        <v>1586.47179508897</v>
      </c>
      <c r="T16" s="55" t="n">
        <f aca="false">IF(AND($C$8=1,(COLUMN()-3)&gt;=$D$8),$E$8*(1+$F$8)^((COLUMN()-3)-$D$8),0)</f>
        <v>1621.37417458093</v>
      </c>
      <c r="U16" s="55" t="n">
        <f aca="false">IF(AND($C$8=1,(COLUMN()-3)&gt;=$D$8),$E$8*(1+$F$8)^((COLUMN()-3)-$D$8),0)</f>
        <v>1657.04440642171</v>
      </c>
      <c r="V16" s="55" t="n">
        <f aca="false">IF(AND($C$8=1,(COLUMN()-3)&gt;=$D$8),$E$8*(1+$F$8)^((COLUMN()-3)-$D$8),0)</f>
        <v>1693.49938336299</v>
      </c>
      <c r="W16" s="55" t="n">
        <f aca="false">IF(AND($C$8=1,(COLUMN()-3)&gt;=$D$8),$E$8*(1+$F$8)^((COLUMN()-3)-$D$8),0)</f>
        <v>1730.75636979697</v>
      </c>
      <c r="X16" s="55" t="n">
        <f aca="false">IF(AND($C$8=1,(COLUMN()-3)&gt;=$D$8),$E$8*(1+$F$8)^((COLUMN()-3)-$D$8),0)</f>
        <v>1768.83300993251</v>
      </c>
      <c r="Y16" s="55" t="n">
        <f aca="false">IF(AND($C$8=1,(COLUMN()-3)&gt;=$D$8),$E$8*(1+$F$8)^((COLUMN()-3)-$D$8),0)</f>
        <v>1807.74733615102</v>
      </c>
      <c r="Z16" s="55" t="n">
        <f aca="false">IF(AND($C$8=1,(COLUMN()-3)&gt;=$D$8),$E$8*(1+$F$8)^((COLUMN()-3)-$D$8),0)</f>
        <v>1847.51777754634</v>
      </c>
      <c r="AA16" s="55" t="n">
        <f aca="false">IF(AND($C$8=1,(COLUMN()-3)&gt;=$D$8),$E$8*(1+$F$8)^((COLUMN()-3)-$D$8),0)</f>
        <v>1888.16316865236</v>
      </c>
    </row>
    <row r="17" customFormat="false" ht="15" hidden="false" customHeight="false" outlineLevel="0" collapsed="false">
      <c r="B17" s="54" t="s">
        <v>85</v>
      </c>
      <c r="C17" s="55" t="n">
        <f aca="false">IF(AND($C$9=1,(COLUMN()-3)&gt;=$D$9),$E$9*(1+$F$9)^((COLUMN()-3)-$D$9),0)</f>
        <v>0</v>
      </c>
      <c r="D17" s="55" t="n">
        <f aca="false">IF(AND($C$9=1,(COLUMN()-3)&gt;=$D$9),$E$9*(1+$F$9)^((COLUMN()-3)-$D$9),0)</f>
        <v>0</v>
      </c>
      <c r="E17" s="55" t="n">
        <f aca="false">IF(AND($C$9=1,(COLUMN()-3)&gt;=$D$9),$E$9*(1+$F$9)^((COLUMN()-3)-$D$9),0)</f>
        <v>0</v>
      </c>
      <c r="F17" s="55" t="n">
        <f aca="false">IF(AND($C$9=1,(COLUMN()-3)&gt;=$D$9),$E$9*(1+$F$9)^((COLUMN()-3)-$D$9),0)</f>
        <v>0</v>
      </c>
      <c r="G17" s="55" t="n">
        <f aca="false">IF(AND($C$9=1,(COLUMN()-3)&gt;=$D$9),$E$9*(1+$F$9)^((COLUMN()-3)-$D$9),0)</f>
        <v>0</v>
      </c>
      <c r="H17" s="55" t="n">
        <f aca="false">IF(AND($C$9=1,(COLUMN()-3)&gt;=$D$9),$E$9*(1+$F$9)^((COLUMN()-3)-$D$9),0)</f>
        <v>0</v>
      </c>
      <c r="I17" s="55" t="n">
        <f aca="false">IF(AND($C$9=1,(COLUMN()-3)&gt;=$D$9),$E$9*(1+$F$9)^((COLUMN()-3)-$D$9),0)</f>
        <v>0</v>
      </c>
      <c r="J17" s="55" t="n">
        <f aca="false">IF(AND($C$9=1,(COLUMN()-3)&gt;=$D$9),$E$9*(1+$F$9)^((COLUMN()-3)-$D$9),0)</f>
        <v>0</v>
      </c>
      <c r="K17" s="55" t="n">
        <f aca="false">IF(AND($C$9=1,(COLUMN()-3)&gt;=$D$9),$E$9*(1+$F$9)^((COLUMN()-3)-$D$9),0)</f>
        <v>0</v>
      </c>
      <c r="L17" s="55" t="n">
        <f aca="false">IF(AND($C$9=1,(COLUMN()-3)&gt;=$D$9),$E$9*(1+$F$9)^((COLUMN()-3)-$D$9),0)</f>
        <v>0</v>
      </c>
      <c r="M17" s="55" t="n">
        <f aca="false">IF(AND($C$9=1,(COLUMN()-3)&gt;=$D$9),$E$9*(1+$F$9)^((COLUMN()-3)-$D$9),0)</f>
        <v>0</v>
      </c>
      <c r="N17" s="55" t="n">
        <f aca="false">IF(AND($C$9=1,(COLUMN()-3)&gt;=$D$9),$E$9*(1+$F$9)^((COLUMN()-3)-$D$9),0)</f>
        <v>0</v>
      </c>
      <c r="O17" s="55" t="n">
        <f aca="false">IF(AND($C$9=1,(COLUMN()-3)&gt;=$D$9),$E$9*(1+$F$9)^((COLUMN()-3)-$D$9),0)</f>
        <v>0</v>
      </c>
      <c r="P17" s="55" t="n">
        <f aca="false">IF(AND($C$9=1,(COLUMN()-3)&gt;=$D$9),$E$9*(1+$F$9)^((COLUMN()-3)-$D$9),0)</f>
        <v>0</v>
      </c>
      <c r="Q17" s="55" t="n">
        <f aca="false">IF(AND($C$9=1,(COLUMN()-3)&gt;=$D$9),$E$9*(1+$F$9)^((COLUMN()-3)-$D$9),0)</f>
        <v>0</v>
      </c>
      <c r="R17" s="55" t="n">
        <f aca="false">IF(AND($C$9=1,(COLUMN()-3)&gt;=$D$9),$E$9*(1+$F$9)^((COLUMN()-3)-$D$9),0)</f>
        <v>0</v>
      </c>
      <c r="S17" s="55" t="n">
        <f aca="false">IF(AND($C$9=1,(COLUMN()-3)&gt;=$D$9),$E$9*(1+$F$9)^((COLUMN()-3)-$D$9),0)</f>
        <v>0</v>
      </c>
      <c r="T17" s="55" t="n">
        <f aca="false">IF(AND($C$9=1,(COLUMN()-3)&gt;=$D$9),$E$9*(1+$F$9)^((COLUMN()-3)-$D$9),0)</f>
        <v>0</v>
      </c>
      <c r="U17" s="55" t="n">
        <f aca="false">IF(AND($C$9=1,(COLUMN()-3)&gt;=$D$9),$E$9*(1+$F$9)^((COLUMN()-3)-$D$9),0)</f>
        <v>0</v>
      </c>
      <c r="V17" s="55" t="n">
        <f aca="false">IF(AND($C$9=1,(COLUMN()-3)&gt;=$D$9),$E$9*(1+$F$9)^((COLUMN()-3)-$D$9),0)</f>
        <v>0</v>
      </c>
      <c r="W17" s="55" t="n">
        <f aca="false">IF(AND($C$9=1,(COLUMN()-3)&gt;=$D$9),$E$9*(1+$F$9)^((COLUMN()-3)-$D$9),0)</f>
        <v>0</v>
      </c>
      <c r="X17" s="55" t="n">
        <f aca="false">IF(AND($C$9=1,(COLUMN()-3)&gt;=$D$9),$E$9*(1+$F$9)^((COLUMN()-3)-$D$9),0)</f>
        <v>0</v>
      </c>
      <c r="Y17" s="55" t="n">
        <f aca="false">IF(AND($C$9=1,(COLUMN()-3)&gt;=$D$9),$E$9*(1+$F$9)^((COLUMN()-3)-$D$9),0)</f>
        <v>0</v>
      </c>
      <c r="Z17" s="55" t="n">
        <f aca="false">IF(AND($C$9=1,(COLUMN()-3)&gt;=$D$9),$E$9*(1+$F$9)^((COLUMN()-3)-$D$9),0)</f>
        <v>0</v>
      </c>
      <c r="AA17" s="55" t="n">
        <f aca="false">IF(AND($C$9=1,(COLUMN()-3)&gt;=$D$9),$E$9*(1+$F$9)^((COLUMN()-3)-$D$9),0)</f>
        <v>0</v>
      </c>
    </row>
    <row r="18" customFormat="false" ht="15" hidden="false" customHeight="false" outlineLevel="0" collapsed="false">
      <c r="B18" s="54" t="s">
        <v>86</v>
      </c>
      <c r="C18" s="55" t="n">
        <f aca="false">IF(AND($C$10=1,(COLUMN()-3)&gt;=$D$10),$E$10*(1+$F$10)^((COLUMN()-3)-$D$10),0)</f>
        <v>0</v>
      </c>
      <c r="D18" s="55" t="n">
        <f aca="false">IF(AND($C$10=1,(COLUMN()-3)&gt;=$D$10),$E$10*(1+$F$10)^((COLUMN()-3)-$D$10),0)</f>
        <v>0</v>
      </c>
      <c r="E18" s="55" t="n">
        <f aca="false">IF(AND($C$10=1,(COLUMN()-3)&gt;=$D$10),$E$10*(1+$F$10)^((COLUMN()-3)-$D$10),0)</f>
        <v>0</v>
      </c>
      <c r="F18" s="55" t="n">
        <f aca="false">IF(AND($C$10=1,(COLUMN()-3)&gt;=$D$10),$E$10*(1+$F$10)^((COLUMN()-3)-$D$10),0)</f>
        <v>0</v>
      </c>
      <c r="G18" s="55" t="n">
        <f aca="false">IF(AND($C$10=1,(COLUMN()-3)&gt;=$D$10),$E$10*(1+$F$10)^((COLUMN()-3)-$D$10),0)</f>
        <v>0</v>
      </c>
      <c r="H18" s="55" t="n">
        <f aca="false">IF(AND($C$10=1,(COLUMN()-3)&gt;=$D$10),$E$10*(1+$F$10)^((COLUMN()-3)-$D$10),0)</f>
        <v>0</v>
      </c>
      <c r="I18" s="55" t="n">
        <f aca="false">IF(AND($C$10=1,(COLUMN()-3)&gt;=$D$10),$E$10*(1+$F$10)^((COLUMN()-3)-$D$10),0)</f>
        <v>0</v>
      </c>
      <c r="J18" s="55" t="n">
        <f aca="false">IF(AND($C$10=1,(COLUMN()-3)&gt;=$D$10),$E$10*(1+$F$10)^((COLUMN()-3)-$D$10),0)</f>
        <v>0</v>
      </c>
      <c r="K18" s="55" t="n">
        <f aca="false">IF(AND($C$10=1,(COLUMN()-3)&gt;=$D$10),$E$10*(1+$F$10)^((COLUMN()-3)-$D$10),0)</f>
        <v>0</v>
      </c>
      <c r="L18" s="55" t="n">
        <f aca="false">IF(AND($C$10=1,(COLUMN()-3)&gt;=$D$10),$E$10*(1+$F$10)^((COLUMN()-3)-$D$10),0)</f>
        <v>0</v>
      </c>
      <c r="M18" s="55" t="n">
        <f aca="false">IF(AND($C$10=1,(COLUMN()-3)&gt;=$D$10),$E$10*(1+$F$10)^((COLUMN()-3)-$D$10),0)</f>
        <v>0</v>
      </c>
      <c r="N18" s="55" t="n">
        <f aca="false">IF(AND($C$10=1,(COLUMN()-3)&gt;=$D$10),$E$10*(1+$F$10)^((COLUMN()-3)-$D$10),0)</f>
        <v>0</v>
      </c>
      <c r="O18" s="55" t="n">
        <f aca="false">IF(AND($C$10=1,(COLUMN()-3)&gt;=$D$10),$E$10*(1+$F$10)^((COLUMN()-3)-$D$10),0)</f>
        <v>0</v>
      </c>
      <c r="P18" s="55" t="n">
        <f aca="false">IF(AND($C$10=1,(COLUMN()-3)&gt;=$D$10),$E$10*(1+$F$10)^((COLUMN()-3)-$D$10),0)</f>
        <v>0</v>
      </c>
      <c r="Q18" s="55" t="n">
        <f aca="false">IF(AND($C$10=1,(COLUMN()-3)&gt;=$D$10),$E$10*(1+$F$10)^((COLUMN()-3)-$D$10),0)</f>
        <v>0</v>
      </c>
      <c r="R18" s="55" t="n">
        <f aca="false">IF(AND($C$10=1,(COLUMN()-3)&gt;=$D$10),$E$10*(1+$F$10)^((COLUMN()-3)-$D$10),0)</f>
        <v>0</v>
      </c>
      <c r="S18" s="55" t="n">
        <f aca="false">IF(AND($C$10=1,(COLUMN()-3)&gt;=$D$10),$E$10*(1+$F$10)^((COLUMN()-3)-$D$10),0)</f>
        <v>0</v>
      </c>
      <c r="T18" s="55" t="n">
        <f aca="false">IF(AND($C$10=1,(COLUMN()-3)&gt;=$D$10),$E$10*(1+$F$10)^((COLUMN()-3)-$D$10),0)</f>
        <v>0</v>
      </c>
      <c r="U18" s="55" t="n">
        <f aca="false">IF(AND($C$10=1,(COLUMN()-3)&gt;=$D$10),$E$10*(1+$F$10)^((COLUMN()-3)-$D$10),0)</f>
        <v>0</v>
      </c>
      <c r="V18" s="55" t="n">
        <f aca="false">IF(AND($C$10=1,(COLUMN()-3)&gt;=$D$10),$E$10*(1+$F$10)^((COLUMN()-3)-$D$10),0)</f>
        <v>0</v>
      </c>
      <c r="W18" s="55" t="n">
        <f aca="false">IF(AND($C$10=1,(COLUMN()-3)&gt;=$D$10),$E$10*(1+$F$10)^((COLUMN()-3)-$D$10),0)</f>
        <v>0</v>
      </c>
      <c r="X18" s="55" t="n">
        <f aca="false">IF(AND($C$10=1,(COLUMN()-3)&gt;=$D$10),$E$10*(1+$F$10)^((COLUMN()-3)-$D$10),0)</f>
        <v>0</v>
      </c>
      <c r="Y18" s="55" t="n">
        <f aca="false">IF(AND($C$10=1,(COLUMN()-3)&gt;=$D$10),$E$10*(1+$F$10)^((COLUMN()-3)-$D$10),0)</f>
        <v>0</v>
      </c>
      <c r="Z18" s="55" t="n">
        <f aca="false">IF(AND($C$10=1,(COLUMN()-3)&gt;=$D$10),$E$10*(1+$F$10)^((COLUMN()-3)-$D$10),0)</f>
        <v>0</v>
      </c>
      <c r="AA18" s="55" t="n">
        <f aca="false">IF(AND($C$10=1,(COLUMN()-3)&gt;=$D$10),$E$10*(1+$F$10)^((COLUMN()-3)-$D$10),0)</f>
        <v>0</v>
      </c>
    </row>
    <row r="19" customFormat="false" ht="15" hidden="false" customHeight="false" outlineLevel="0" collapsed="false">
      <c r="B19" s="19" t="s">
        <v>26</v>
      </c>
      <c r="C19" s="56" t="n">
        <f aca="false">SUM(C14:C18)</f>
        <v>5420</v>
      </c>
      <c r="D19" s="56" t="n">
        <f aca="false">SUM(D14:D18)</f>
        <v>5525.84</v>
      </c>
      <c r="E19" s="56" t="n">
        <f aca="false">SUM(E14:E18)</f>
        <v>5633.75968</v>
      </c>
      <c r="F19" s="56" t="n">
        <f aca="false">SUM(F14:F18)</f>
        <v>5743.80016256</v>
      </c>
      <c r="G19" s="56" t="n">
        <f aca="false">SUM(G14:G18)</f>
        <v>5856.00338854912</v>
      </c>
      <c r="H19" s="56" t="n">
        <f aca="false">SUM(H14:H18)</f>
        <v>5970.41213353263</v>
      </c>
      <c r="I19" s="56" t="n">
        <f aca="false">SUM(I14:I18)</f>
        <v>6087.0700244892</v>
      </c>
      <c r="J19" s="56" t="n">
        <f aca="false">SUM(J14:J18)</f>
        <v>6206.02155686505</v>
      </c>
      <c r="K19" s="56" t="n">
        <f aca="false">SUM(K14:K18)</f>
        <v>6327.31211197185</v>
      </c>
      <c r="L19" s="56" t="n">
        <f aca="false">SUM(L14:L18)</f>
        <v>6450.98797473533</v>
      </c>
      <c r="M19" s="56" t="n">
        <f aca="false">SUM(M14:M18)</f>
        <v>6577.09635180171</v>
      </c>
      <c r="N19" s="56" t="n">
        <f aca="false">SUM(N14:N18)</f>
        <v>6705.68539000923</v>
      </c>
      <c r="O19" s="56" t="n">
        <f aca="false">SUM(O14:O18)</f>
        <v>6836.80419523215</v>
      </c>
      <c r="P19" s="56" t="n">
        <f aca="false">SUM(P14:P18)</f>
        <v>6970.50285160479</v>
      </c>
      <c r="Q19" s="56" t="n">
        <f aca="false">SUM(Q14:Q18)</f>
        <v>7106.83244113339</v>
      </c>
      <c r="R19" s="56" t="n">
        <f aca="false">SUM(R14:R18)</f>
        <v>7245.84506370351</v>
      </c>
      <c r="S19" s="56" t="n">
        <f aca="false">SUM(S14:S18)</f>
        <v>7387.59385749114</v>
      </c>
      <c r="T19" s="56" t="n">
        <f aca="false">SUM(T14:T18)</f>
        <v>7532.13301978568</v>
      </c>
      <c r="U19" s="56" t="n">
        <f aca="false">SUM(U14:U18)</f>
        <v>7679.51782823308</v>
      </c>
      <c r="V19" s="56" t="n">
        <f aca="false">SUM(V14:V18)</f>
        <v>7829.80466250775</v>
      </c>
      <c r="W19" s="56" t="n">
        <f aca="false">SUM(W14:W18)</f>
        <v>7983.05102642195</v>
      </c>
      <c r="X19" s="56" t="n">
        <f aca="false">SUM(X14:X18)</f>
        <v>8139.31557048145</v>
      </c>
      <c r="Y19" s="56" t="n">
        <f aca="false">SUM(Y14:Y18)</f>
        <v>8298.65811489666</v>
      </c>
      <c r="Z19" s="56" t="n">
        <f aca="false">SUM(Z14:Z18)</f>
        <v>8461.13967305835</v>
      </c>
      <c r="AA19" s="56" t="n">
        <f aca="false">SUM(AA14:AA18)</f>
        <v>8626.82247548752</v>
      </c>
    </row>
    <row r="20" customFormat="false" ht="15" hidden="false" customHeight="false" outlineLevel="0" collapsed="false">
      <c r="B20" s="19" t="s">
        <v>32</v>
      </c>
      <c r="C20" s="57" t="n">
        <f aca="false">SUMPRODUCT(C14:C18,$G$6:$G$10)</f>
        <v>1672.3</v>
      </c>
      <c r="D20" s="57" t="n">
        <f aca="false">SUMPRODUCT(D14:D18,$G$6:$G$10)</f>
        <v>1704.8596</v>
      </c>
      <c r="E20" s="57" t="n">
        <f aca="false">SUMPRODUCT(E14:E18,$G$6:$G$10)</f>
        <v>1738.0570352</v>
      </c>
      <c r="F20" s="57" t="n">
        <f aca="false">SUMPRODUCT(F14:F18,$G$6:$G$10)</f>
        <v>1771.9048790464</v>
      </c>
      <c r="G20" s="57" t="n">
        <f aca="false">SUMPRODUCT(G14:G18,$G$6:$G$10)</f>
        <v>1806.41595441352</v>
      </c>
      <c r="H20" s="57" t="n">
        <f aca="false">SUMPRODUCT(H14:H18,$G$6:$G$10)</f>
        <v>1841.60333858307</v>
      </c>
      <c r="I20" s="57" t="n">
        <f aca="false">SUMPRODUCT(I14:I18,$G$6:$G$10)</f>
        <v>1877.48036832371</v>
      </c>
      <c r="J20" s="57" t="n">
        <f aca="false">SUMPRODUCT(J14:J18,$G$6:$G$10)</f>
        <v>1914.0606450726</v>
      </c>
      <c r="K20" s="57" t="n">
        <f aca="false">SUMPRODUCT(K14:K18,$G$6:$G$10)</f>
        <v>1951.3580402211</v>
      </c>
      <c r="L20" s="57" t="n">
        <f aca="false">SUMPRODUCT(L14:L18,$G$6:$G$10)</f>
        <v>1989.38670050671</v>
      </c>
      <c r="M20" s="57" t="n">
        <f aca="false">SUMPRODUCT(M14:M18,$G$6:$G$10)</f>
        <v>2028.16105351338</v>
      </c>
      <c r="N20" s="57" t="n">
        <f aca="false">SUMPRODUCT(N14:N18,$G$6:$G$10)</f>
        <v>2067.69581328234</v>
      </c>
      <c r="O20" s="57" t="n">
        <f aca="false">SUMPRODUCT(O14:O18,$G$6:$G$10)</f>
        <v>2108.00598603579</v>
      </c>
      <c r="P20" s="57" t="n">
        <f aca="false">SUMPRODUCT(P14:P18,$G$6:$G$10)</f>
        <v>2149.10687601568</v>
      </c>
      <c r="Q20" s="57" t="n">
        <f aca="false">SUMPRODUCT(Q14:Q18,$G$6:$G$10)</f>
        <v>2191.01409143982</v>
      </c>
      <c r="R20" s="57" t="n">
        <f aca="false">SUMPRODUCT(R14:R18,$G$6:$G$10)</f>
        <v>2233.74355057785</v>
      </c>
      <c r="S20" s="57" t="n">
        <f aca="false">SUMPRODUCT(S14:S18,$G$6:$G$10)</f>
        <v>2277.31148794941</v>
      </c>
      <c r="T20" s="57" t="n">
        <f aca="false">SUMPRODUCT(T14:T18,$G$6:$G$10)</f>
        <v>2321.73446064701</v>
      </c>
      <c r="U20" s="57" t="n">
        <f aca="false">SUMPRODUCT(U14:U18,$G$6:$G$10)</f>
        <v>2367.02935478601</v>
      </c>
      <c r="V20" s="57" t="n">
        <f aca="false">SUMPRODUCT(V14:V18,$G$6:$G$10)</f>
        <v>2413.21339208455</v>
      </c>
      <c r="W20" s="57" t="n">
        <f aca="false">SUMPRODUCT(W14:W18,$G$6:$G$10)</f>
        <v>2460.30413657573</v>
      </c>
      <c r="X20" s="57" t="n">
        <f aca="false">SUMPRODUCT(X14:X18,$G$6:$G$10)</f>
        <v>2508.319501455</v>
      </c>
      <c r="Y20" s="57" t="n">
        <f aca="false">SUMPRODUCT(Y14:Y18,$G$6:$G$10)</f>
        <v>2557.27775606529</v>
      </c>
      <c r="Z20" s="57" t="n">
        <f aca="false">SUMPRODUCT(Z14:Z18,$G$6:$G$10)</f>
        <v>2607.19753302283</v>
      </c>
      <c r="AA20" s="57" t="n">
        <f aca="false">SUMPRODUCT(AA14:AA18,$G$6:$G$10)</f>
        <v>2658.09783548639</v>
      </c>
    </row>
    <row r="21" customFormat="false" ht="15" hidden="false" customHeight="false" outlineLevel="0" collapsed="false">
      <c r="B21" s="10" t="s">
        <v>114</v>
      </c>
      <c r="C21" s="58" t="n">
        <f aca="false">IF(C19=0,0,C20/C19)</f>
        <v>0.308542435424354</v>
      </c>
      <c r="D21" s="58" t="n">
        <f aca="false">IF(D19=0,0,D20/D19)</f>
        <v>0.308524966339959</v>
      </c>
      <c r="E21" s="58" t="n">
        <f aca="false">IF(E19=0,0,E20/E19)</f>
        <v>0.308507485928118</v>
      </c>
      <c r="F21" s="58" t="n">
        <f aca="false">IF(F19=0,0,F20/F19)</f>
        <v>0.308489994236963</v>
      </c>
      <c r="G21" s="58" t="n">
        <f aca="false">IF(G19=0,0,G20/G19)</f>
        <v>0.308472491314776</v>
      </c>
      <c r="H21" s="58" t="n">
        <f aca="false">IF(H19=0,0,H20/H19)</f>
        <v>0.308454977209993</v>
      </c>
      <c r="I21" s="58" t="n">
        <f aca="false">IF(I19=0,0,I20/I19)</f>
        <v>0.308437451971199</v>
      </c>
      <c r="J21" s="58" t="n">
        <f aca="false">IF(J19=0,0,J20/J19)</f>
        <v>0.308419915647132</v>
      </c>
      <c r="K21" s="58" t="n">
        <f aca="false">IF(K19=0,0,K20/K19)</f>
        <v>0.308402368286678</v>
      </c>
      <c r="L21" s="58" t="n">
        <f aca="false">IF(L19=0,0,L20/L19)</f>
        <v>0.308384809938874</v>
      </c>
      <c r="M21" s="58" t="n">
        <f aca="false">IF(M19=0,0,M20/M19)</f>
        <v>0.308367240652905</v>
      </c>
      <c r="N21" s="58" t="n">
        <f aca="false">IF(N19=0,0,N20/N19)</f>
        <v>0.308349660478105</v>
      </c>
      <c r="O21" s="58" t="n">
        <f aca="false">IF(O19=0,0,O20/O19)</f>
        <v>0.308332069463957</v>
      </c>
      <c r="P21" s="58" t="n">
        <f aca="false">IF(P19=0,0,P20/P19)</f>
        <v>0.308314467660092</v>
      </c>
      <c r="Q21" s="58" t="n">
        <f aca="false">IF(Q19=0,0,Q20/Q19)</f>
        <v>0.308296855116285</v>
      </c>
      <c r="R21" s="58" t="n">
        <f aca="false">IF(R19=0,0,R20/R19)</f>
        <v>0.308279231882462</v>
      </c>
      <c r="S21" s="58" t="n">
        <f aca="false">IF(S19=0,0,S20/S19)</f>
        <v>0.308261598008692</v>
      </c>
      <c r="T21" s="58" t="n">
        <f aca="false">IF(T19=0,0,T20/T19)</f>
        <v>0.30824395354519</v>
      </c>
      <c r="U21" s="58" t="n">
        <f aca="false">IF(U19=0,0,U20/U19)</f>
        <v>0.308226298542316</v>
      </c>
      <c r="V21" s="58" t="n">
        <f aca="false">IF(V19=0,0,V20/V19)</f>
        <v>0.308208633050577</v>
      </c>
      <c r="W21" s="58" t="n">
        <f aca="false">IF(W19=0,0,W20/W19)</f>
        <v>0.30819095712062</v>
      </c>
      <c r="X21" s="58" t="n">
        <f aca="false">IF(X19=0,0,X20/X19)</f>
        <v>0.308173270803239</v>
      </c>
      <c r="Y21" s="58" t="n">
        <f aca="false">IF(Y19=0,0,Y20/Y19)</f>
        <v>0.308155574149368</v>
      </c>
      <c r="Z21" s="58" t="n">
        <f aca="false">IF(Z19=0,0,Z20/Z19)</f>
        <v>0.308137867210084</v>
      </c>
      <c r="AA21" s="58" t="n">
        <f aca="false">IF(AA19=0,0,AA20/AA19)</f>
        <v>0.308120150036607</v>
      </c>
    </row>
    <row r="22" customFormat="false" ht="15" hidden="false" customHeight="false" outlineLevel="0" collapsed="false">
      <c r="B22" s="59" t="s">
        <v>115</v>
      </c>
      <c r="C22" s="55" t="n">
        <f aca="false">SUMPRODUCT(($C$6:$C$10)*((COLUMN()-3)=$D$6:$D$10)*($H$6:$H$10))</f>
        <v>0</v>
      </c>
      <c r="D22" s="55" t="n">
        <f aca="false">SUMPRODUCT(($C$6:$C$10)*((COLUMN()-3)=$D$6:$D$10)*($H$6:$H$10))</f>
        <v>0</v>
      </c>
      <c r="E22" s="55" t="n">
        <f aca="false">SUMPRODUCT(($C$6:$C$10)*((COLUMN()-3)=$D$6:$D$10)*($H$6:$H$10))</f>
        <v>0</v>
      </c>
      <c r="F22" s="55" t="n">
        <f aca="false">SUMPRODUCT(($C$6:$C$10)*((COLUMN()-3)=$D$6:$D$10)*($H$6:$H$10))</f>
        <v>0</v>
      </c>
      <c r="G22" s="55" t="n">
        <f aca="false">SUMPRODUCT(($C$6:$C$10)*((COLUMN()-3)=$D$6:$D$10)*($H$6:$H$10))</f>
        <v>0</v>
      </c>
      <c r="H22" s="55" t="n">
        <f aca="false">SUMPRODUCT(($C$6:$C$10)*((COLUMN()-3)=$D$6:$D$10)*($H$6:$H$10))</f>
        <v>0</v>
      </c>
      <c r="I22" s="55" t="n">
        <f aca="false">SUMPRODUCT(($C$6:$C$10)*((COLUMN()-3)=$D$6:$D$10)*($H$6:$H$10))</f>
        <v>0</v>
      </c>
      <c r="J22" s="55" t="n">
        <f aca="false">SUMPRODUCT(($C$6:$C$10)*((COLUMN()-3)=$D$6:$D$10)*($H$6:$H$10))</f>
        <v>0</v>
      </c>
      <c r="K22" s="55" t="n">
        <f aca="false">SUMPRODUCT(($C$6:$C$10)*((COLUMN()-3)=$D$6:$D$10)*($H$6:$H$10))</f>
        <v>0</v>
      </c>
      <c r="L22" s="55" t="n">
        <f aca="false">SUMPRODUCT(($C$6:$C$10)*((COLUMN()-3)=$D$6:$D$10)*($H$6:$H$10))</f>
        <v>0</v>
      </c>
      <c r="M22" s="55" t="n">
        <f aca="false">SUMPRODUCT(($C$6:$C$10)*((COLUMN()-3)=$D$6:$D$10)*($H$6:$H$10))</f>
        <v>0</v>
      </c>
      <c r="N22" s="55" t="n">
        <f aca="false">SUMPRODUCT(($C$6:$C$10)*((COLUMN()-3)=$D$6:$D$10)*($H$6:$H$10))</f>
        <v>0</v>
      </c>
      <c r="O22" s="55" t="n">
        <f aca="false">SUMPRODUCT(($C$6:$C$10)*((COLUMN()-3)=$D$6:$D$10)*($H$6:$H$10))</f>
        <v>0</v>
      </c>
      <c r="P22" s="55" t="n">
        <f aca="false">SUMPRODUCT(($C$6:$C$10)*((COLUMN()-3)=$D$6:$D$10)*($H$6:$H$10))</f>
        <v>0</v>
      </c>
      <c r="Q22" s="55" t="n">
        <f aca="false">SUMPRODUCT(($C$6:$C$10)*((COLUMN()-3)=$D$6:$D$10)*($H$6:$H$10))</f>
        <v>0</v>
      </c>
      <c r="R22" s="55" t="n">
        <f aca="false">SUMPRODUCT(($C$6:$C$10)*((COLUMN()-3)=$D$6:$D$10)*($H$6:$H$10))</f>
        <v>0</v>
      </c>
      <c r="S22" s="55" t="n">
        <f aca="false">SUMPRODUCT(($C$6:$C$10)*((COLUMN()-3)=$D$6:$D$10)*($H$6:$H$10))</f>
        <v>0</v>
      </c>
      <c r="T22" s="55" t="n">
        <f aca="false">SUMPRODUCT(($C$6:$C$10)*((COLUMN()-3)=$D$6:$D$10)*($H$6:$H$10))</f>
        <v>0</v>
      </c>
      <c r="U22" s="55" t="n">
        <f aca="false">SUMPRODUCT(($C$6:$C$10)*((COLUMN()-3)=$D$6:$D$10)*($H$6:$H$10))</f>
        <v>0</v>
      </c>
      <c r="V22" s="55" t="n">
        <f aca="false">SUMPRODUCT(($C$6:$C$10)*((COLUMN()-3)=$D$6:$D$10)*($H$6:$H$10))</f>
        <v>0</v>
      </c>
      <c r="W22" s="55" t="n">
        <f aca="false">SUMPRODUCT(($C$6:$C$10)*((COLUMN()-3)=$D$6:$D$10)*($H$6:$H$10))</f>
        <v>0</v>
      </c>
      <c r="X22" s="55" t="n">
        <f aca="false">SUMPRODUCT(($C$6:$C$10)*((COLUMN()-3)=$D$6:$D$10)*($H$6:$H$10))</f>
        <v>0</v>
      </c>
      <c r="Y22" s="55" t="n">
        <f aca="false">SUMPRODUCT(($C$6:$C$10)*((COLUMN()-3)=$D$6:$D$10)*($H$6:$H$10))</f>
        <v>0</v>
      </c>
      <c r="Z22" s="55" t="n">
        <f aca="false">SUMPRODUCT(($C$6:$C$10)*((COLUMN()-3)=$D$6:$D$10)*($H$6:$H$10))</f>
        <v>0</v>
      </c>
      <c r="AA22" s="55" t="n">
        <f aca="false">SUMPRODUCT(($C$6:$C$10)*((COLUMN()-3)=$D$6:$D$10)*($H$6:$H$10))</f>
        <v>0</v>
      </c>
    </row>
    <row r="23" customFormat="false" ht="15" hidden="false" customHeight="false" outlineLevel="0" collapsed="false">
      <c r="B23" s="59" t="s">
        <v>116</v>
      </c>
      <c r="C23" s="55" t="n">
        <f aca="false">SUMPRODUCT(($C$6:$C$10)*((COLUMN()-3)&gt;=$D$6:$D$10)*((COLUMN()-3)&lt;$D$6:$D$10+$J$6:$J$10)*($I$6:$I$10))</f>
        <v>0</v>
      </c>
      <c r="D23" s="55" t="n">
        <f aca="false">SUMPRODUCT(($C$6:$C$10)*((COLUMN()-3)&gt;=$D$6:$D$10)*((COLUMN()-3)&lt;$D$6:$D$10+$J$6:$J$10)*($I$6:$I$10))</f>
        <v>0</v>
      </c>
      <c r="E23" s="55" t="n">
        <f aca="false">SUMPRODUCT(($C$6:$C$10)*((COLUMN()-3)&gt;=$D$6:$D$10)*((COLUMN()-3)&lt;$D$6:$D$10+$J$6:$J$10)*($I$6:$I$10))</f>
        <v>0</v>
      </c>
      <c r="F23" s="55" t="n">
        <f aca="false">SUMPRODUCT(($C$6:$C$10)*((COLUMN()-3)&gt;=$D$6:$D$10)*((COLUMN()-3)&lt;$D$6:$D$10+$J$6:$J$10)*($I$6:$I$10))</f>
        <v>0</v>
      </c>
      <c r="G23" s="55" t="n">
        <f aca="false">SUMPRODUCT(($C$6:$C$10)*((COLUMN()-3)&gt;=$D$6:$D$10)*((COLUMN()-3)&lt;$D$6:$D$10+$J$6:$J$10)*($I$6:$I$10))</f>
        <v>0</v>
      </c>
      <c r="H23" s="55" t="n">
        <f aca="false">SUMPRODUCT(($C$6:$C$10)*((COLUMN()-3)&gt;=$D$6:$D$10)*((COLUMN()-3)&lt;$D$6:$D$10+$J$6:$J$10)*($I$6:$I$10))</f>
        <v>0</v>
      </c>
      <c r="I23" s="55" t="n">
        <f aca="false">SUMPRODUCT(($C$6:$C$10)*((COLUMN()-3)&gt;=$D$6:$D$10)*((COLUMN()-3)&lt;$D$6:$D$10+$J$6:$J$10)*($I$6:$I$10))</f>
        <v>0</v>
      </c>
      <c r="J23" s="55" t="n">
        <f aca="false">SUMPRODUCT(($C$6:$C$10)*((COLUMN()-3)&gt;=$D$6:$D$10)*((COLUMN()-3)&lt;$D$6:$D$10+$J$6:$J$10)*($I$6:$I$10))</f>
        <v>0</v>
      </c>
      <c r="K23" s="55" t="n">
        <f aca="false">SUMPRODUCT(($C$6:$C$10)*((COLUMN()-3)&gt;=$D$6:$D$10)*((COLUMN()-3)&lt;$D$6:$D$10+$J$6:$J$10)*($I$6:$I$10))</f>
        <v>0</v>
      </c>
      <c r="L23" s="55" t="n">
        <f aca="false">SUMPRODUCT(($C$6:$C$10)*((COLUMN()-3)&gt;=$D$6:$D$10)*((COLUMN()-3)&lt;$D$6:$D$10+$J$6:$J$10)*($I$6:$I$10))</f>
        <v>0</v>
      </c>
      <c r="M23" s="55" t="n">
        <f aca="false">SUMPRODUCT(($C$6:$C$10)*((COLUMN()-3)&gt;=$D$6:$D$10)*((COLUMN()-3)&lt;$D$6:$D$10+$J$6:$J$10)*($I$6:$I$10))</f>
        <v>0</v>
      </c>
      <c r="N23" s="55" t="n">
        <f aca="false">SUMPRODUCT(($C$6:$C$10)*((COLUMN()-3)&gt;=$D$6:$D$10)*((COLUMN()-3)&lt;$D$6:$D$10+$J$6:$J$10)*($I$6:$I$10))</f>
        <v>0</v>
      </c>
      <c r="O23" s="55" t="n">
        <f aca="false">SUMPRODUCT(($C$6:$C$10)*((COLUMN()-3)&gt;=$D$6:$D$10)*((COLUMN()-3)&lt;$D$6:$D$10+$J$6:$J$10)*($I$6:$I$10))</f>
        <v>0</v>
      </c>
      <c r="P23" s="55" t="n">
        <f aca="false">SUMPRODUCT(($C$6:$C$10)*((COLUMN()-3)&gt;=$D$6:$D$10)*((COLUMN()-3)&lt;$D$6:$D$10+$J$6:$J$10)*($I$6:$I$10))</f>
        <v>0</v>
      </c>
      <c r="Q23" s="55" t="n">
        <f aca="false">SUMPRODUCT(($C$6:$C$10)*((COLUMN()-3)&gt;=$D$6:$D$10)*((COLUMN()-3)&lt;$D$6:$D$10+$J$6:$J$10)*($I$6:$I$10))</f>
        <v>0</v>
      </c>
      <c r="R23" s="55" t="n">
        <f aca="false">SUMPRODUCT(($C$6:$C$10)*((COLUMN()-3)&gt;=$D$6:$D$10)*((COLUMN()-3)&lt;$D$6:$D$10+$J$6:$J$10)*($I$6:$I$10))</f>
        <v>0</v>
      </c>
      <c r="S23" s="55" t="n">
        <f aca="false">SUMPRODUCT(($C$6:$C$10)*((COLUMN()-3)&gt;=$D$6:$D$10)*((COLUMN()-3)&lt;$D$6:$D$10+$J$6:$J$10)*($I$6:$I$10))</f>
        <v>0</v>
      </c>
      <c r="T23" s="55" t="n">
        <f aca="false">SUMPRODUCT(($C$6:$C$10)*((COLUMN()-3)&gt;=$D$6:$D$10)*((COLUMN()-3)&lt;$D$6:$D$10+$J$6:$J$10)*($I$6:$I$10))</f>
        <v>0</v>
      </c>
      <c r="U23" s="55" t="n">
        <f aca="false">SUMPRODUCT(($C$6:$C$10)*((COLUMN()-3)&gt;=$D$6:$D$10)*((COLUMN()-3)&lt;$D$6:$D$10+$J$6:$J$10)*($I$6:$I$10))</f>
        <v>0</v>
      </c>
      <c r="V23" s="55" t="n">
        <f aca="false">SUMPRODUCT(($C$6:$C$10)*((COLUMN()-3)&gt;=$D$6:$D$10)*((COLUMN()-3)&lt;$D$6:$D$10+$J$6:$J$10)*($I$6:$I$10))</f>
        <v>0</v>
      </c>
      <c r="W23" s="55" t="n">
        <f aca="false">SUMPRODUCT(($C$6:$C$10)*((COLUMN()-3)&gt;=$D$6:$D$10)*((COLUMN()-3)&lt;$D$6:$D$10+$J$6:$J$10)*($I$6:$I$10))</f>
        <v>0</v>
      </c>
      <c r="X23" s="55" t="n">
        <f aca="false">SUMPRODUCT(($C$6:$C$10)*((COLUMN()-3)&gt;=$D$6:$D$10)*((COLUMN()-3)&lt;$D$6:$D$10+$J$6:$J$10)*($I$6:$I$10))</f>
        <v>0</v>
      </c>
      <c r="Y23" s="55" t="n">
        <f aca="false">SUMPRODUCT(($C$6:$C$10)*((COLUMN()-3)&gt;=$D$6:$D$10)*((COLUMN()-3)&lt;$D$6:$D$10+$J$6:$J$10)*($I$6:$I$10))</f>
        <v>0</v>
      </c>
      <c r="Z23" s="55" t="n">
        <f aca="false">SUMPRODUCT(($C$6:$C$10)*((COLUMN()-3)&gt;=$D$6:$D$10)*((COLUMN()-3)&lt;$D$6:$D$10+$J$6:$J$10)*($I$6:$I$10))</f>
        <v>0</v>
      </c>
      <c r="AA23" s="55" t="n">
        <f aca="false">SUMPRODUCT(($C$6:$C$10)*((COLUMN()-3)&gt;=$D$6:$D$10)*((COLUMN()-3)&lt;$D$6:$D$10+$J$6:$J$10)*($I$6:$I$10))</f>
        <v>0</v>
      </c>
    </row>
    <row r="25" customFormat="false" ht="15" hidden="false" customHeight="false" outlineLevel="0" collapsed="false">
      <c r="B25" s="28" t="s">
        <v>117</v>
      </c>
    </row>
  </sheetData>
  <mergeCells count="1">
    <mergeCell ref="B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AA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1" topLeftCell="C22" activePane="bottomRight" state="frozen"/>
      <selection pane="topLeft" activeCell="A1" activeCellId="0" sqref="A1"/>
      <selection pane="topRight" activeCell="C1" activeCellId="0" sqref="C1"/>
      <selection pane="bottomLeft" activeCell="A22" activeCellId="0" sqref="A2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6"/>
    <col collapsed="false" customWidth="true" hidden="false" outlineLevel="0" max="27" min="3" style="1" width="7.61"/>
  </cols>
  <sheetData>
    <row r="2" customFormat="false" ht="17.35" hidden="false" customHeight="false" outlineLevel="0" collapsed="false">
      <c r="B2" s="9" t="s">
        <v>118</v>
      </c>
      <c r="C2" s="9"/>
      <c r="D2" s="9"/>
      <c r="E2" s="9"/>
      <c r="F2" s="9"/>
      <c r="G2" s="9"/>
      <c r="H2" s="9"/>
    </row>
    <row r="3" customFormat="false" ht="15" hidden="false" customHeight="false" outlineLevel="0" collapsed="false">
      <c r="B3" s="10" t="s">
        <v>119</v>
      </c>
    </row>
    <row r="5" customFormat="false" ht="15" hidden="false" customHeight="false" outlineLevel="0" collapsed="false">
      <c r="B5" s="52" t="s">
        <v>120</v>
      </c>
      <c r="C5" s="30"/>
      <c r="D5" s="30"/>
    </row>
    <row r="6" customFormat="false" ht="15" hidden="false" customHeight="false" outlineLevel="0" collapsed="false">
      <c r="B6" s="15" t="s">
        <v>121</v>
      </c>
      <c r="C6" s="60" t="n">
        <v>298</v>
      </c>
    </row>
    <row r="7" customFormat="false" ht="15" hidden="false" customHeight="false" outlineLevel="0" collapsed="false">
      <c r="B7" s="15" t="s">
        <v>122</v>
      </c>
      <c r="C7" s="61" t="n">
        <v>0.45</v>
      </c>
    </row>
    <row r="8" customFormat="false" ht="15" hidden="false" customHeight="false" outlineLevel="0" collapsed="false">
      <c r="B8" s="15" t="s">
        <v>123</v>
      </c>
      <c r="C8" s="18" t="n">
        <f aca="false">1-C7</f>
        <v>0.55</v>
      </c>
    </row>
    <row r="9" customFormat="false" ht="15" hidden="false" customHeight="false" outlineLevel="0" collapsed="false">
      <c r="B9" s="15" t="s">
        <v>124</v>
      </c>
      <c r="C9" s="62" t="n">
        <v>21</v>
      </c>
    </row>
    <row r="10" customFormat="false" ht="15" hidden="false" customHeight="false" outlineLevel="0" collapsed="false">
      <c r="B10" s="15" t="s">
        <v>125</v>
      </c>
      <c r="C10" s="61" t="n">
        <v>0.8</v>
      </c>
    </row>
    <row r="11" customFormat="false" ht="15" hidden="false" customHeight="false" outlineLevel="0" collapsed="false">
      <c r="B11" s="15" t="s">
        <v>126</v>
      </c>
      <c r="C11" s="61" t="n">
        <v>0.183</v>
      </c>
    </row>
    <row r="13" customFormat="false" ht="25.5" hidden="false" customHeight="true" outlineLevel="0" collapsed="false">
      <c r="B13" s="43" t="s">
        <v>127</v>
      </c>
      <c r="C13" s="43" t="s">
        <v>128</v>
      </c>
      <c r="D13" s="43" t="s">
        <v>129</v>
      </c>
      <c r="E13" s="45" t="s">
        <v>130</v>
      </c>
      <c r="F13" s="45" t="s">
        <v>131</v>
      </c>
      <c r="G13" s="45" t="s">
        <v>132</v>
      </c>
      <c r="H13" s="45" t="s">
        <v>133</v>
      </c>
    </row>
    <row r="14" customFormat="false" ht="15" hidden="false" customHeight="false" outlineLevel="0" collapsed="false">
      <c r="B14" s="15" t="s">
        <v>134</v>
      </c>
      <c r="C14" s="35" t="s">
        <v>135</v>
      </c>
      <c r="D14" s="35" t="s">
        <v>136</v>
      </c>
      <c r="E14" s="32" t="n">
        <v>11</v>
      </c>
      <c r="F14" s="63" t="n">
        <v>260000</v>
      </c>
      <c r="G14" s="64" t="n">
        <f aca="false">C25</f>
        <v>54.1307126877597</v>
      </c>
      <c r="H14" s="17" t="n">
        <f aca="false">C25*F14/12/1000</f>
        <v>1172.83210823479</v>
      </c>
    </row>
    <row r="15" customFormat="false" ht="15" hidden="false" customHeight="false" outlineLevel="0" collapsed="false">
      <c r="B15" s="15" t="s">
        <v>137</v>
      </c>
      <c r="C15" s="35" t="s">
        <v>138</v>
      </c>
      <c r="D15" s="35" t="s">
        <v>136</v>
      </c>
      <c r="E15" s="32" t="n">
        <v>16</v>
      </c>
      <c r="F15" s="63" t="n">
        <v>230000</v>
      </c>
      <c r="G15" s="64" t="n">
        <f aca="false">C26</f>
        <v>30.4485258868648</v>
      </c>
      <c r="H15" s="17" t="n">
        <f aca="false">C26*F15/12/1000</f>
        <v>583.596746164909</v>
      </c>
    </row>
    <row r="16" customFormat="false" ht="15" hidden="false" customHeight="false" outlineLevel="0" collapsed="false">
      <c r="B16" s="15" t="s">
        <v>139</v>
      </c>
      <c r="C16" s="35" t="s">
        <v>140</v>
      </c>
      <c r="D16" s="35" t="s">
        <v>141</v>
      </c>
      <c r="E16" s="65" t="n">
        <v>0.5</v>
      </c>
      <c r="F16" s="63" t="n">
        <v>120000</v>
      </c>
      <c r="G16" s="64" t="n">
        <f aca="false">C27</f>
        <v>42.2896192873122</v>
      </c>
      <c r="H16" s="17" t="n">
        <f aca="false">C27*F16/12/1000</f>
        <v>422.896192873122</v>
      </c>
    </row>
    <row r="17" customFormat="false" ht="15" hidden="false" customHeight="false" outlineLevel="0" collapsed="false">
      <c r="B17" s="15" t="s">
        <v>142</v>
      </c>
      <c r="C17" s="35" t="s">
        <v>135</v>
      </c>
      <c r="D17" s="35" t="s">
        <v>143</v>
      </c>
      <c r="E17" s="65" t="n">
        <v>0.8</v>
      </c>
      <c r="F17" s="63" t="n">
        <v>70000</v>
      </c>
      <c r="G17" s="64" t="n">
        <f aca="false">C28</f>
        <v>43.3045701502077</v>
      </c>
      <c r="H17" s="17" t="n">
        <f aca="false">C28*F17/12/1000</f>
        <v>252.609992542878</v>
      </c>
    </row>
    <row r="18" customFormat="false" ht="15" hidden="false" customHeight="false" outlineLevel="0" collapsed="false">
      <c r="B18" s="15" t="s">
        <v>144</v>
      </c>
      <c r="C18" s="35" t="s">
        <v>140</v>
      </c>
      <c r="D18" s="35" t="s">
        <v>141</v>
      </c>
      <c r="E18" s="65" t="n">
        <v>0.3</v>
      </c>
      <c r="F18" s="63" t="n">
        <v>75000</v>
      </c>
      <c r="G18" s="64" t="n">
        <f aca="false">C29</f>
        <v>25.3737715723873</v>
      </c>
      <c r="H18" s="17" t="n">
        <f aca="false">C29*F18/12/1000</f>
        <v>158.586072327421</v>
      </c>
    </row>
    <row r="19" customFormat="false" ht="15" hidden="false" customHeight="false" outlineLevel="0" collapsed="false">
      <c r="B19" s="15" t="s">
        <v>145</v>
      </c>
      <c r="C19" s="35" t="s">
        <v>140</v>
      </c>
      <c r="D19" s="35" t="s">
        <v>141</v>
      </c>
      <c r="E19" s="65" t="n">
        <v>0.12</v>
      </c>
      <c r="F19" s="63" t="n">
        <v>160000</v>
      </c>
      <c r="G19" s="64" t="n">
        <f aca="false">C30</f>
        <v>10.1495086289549</v>
      </c>
      <c r="H19" s="17" t="n">
        <f aca="false">C30*F19/12/1000</f>
        <v>135.326781719399</v>
      </c>
    </row>
    <row r="20" customFormat="false" ht="15" hidden="false" customHeight="false" outlineLevel="0" collapsed="false">
      <c r="B20" s="50" t="s">
        <v>146</v>
      </c>
      <c r="G20" s="66" t="n">
        <f aca="false">C31</f>
        <v>205.696708213487</v>
      </c>
      <c r="H20" s="20" t="n">
        <f aca="false">C32</f>
        <v>2725.84789386252</v>
      </c>
    </row>
    <row r="21" customFormat="false" ht="15" hidden="false" customHeight="false" outlineLevel="0" collapsed="false">
      <c r="B21" s="52" t="s">
        <v>147</v>
      </c>
      <c r="C21" s="53" t="s">
        <v>89</v>
      </c>
      <c r="D21" s="53" t="s">
        <v>90</v>
      </c>
      <c r="E21" s="53" t="s">
        <v>91</v>
      </c>
      <c r="F21" s="53" t="s">
        <v>92</v>
      </c>
      <c r="G21" s="53" t="s">
        <v>93</v>
      </c>
      <c r="H21" s="53" t="s">
        <v>94</v>
      </c>
      <c r="I21" s="53" t="s">
        <v>95</v>
      </c>
      <c r="J21" s="53" t="s">
        <v>96</v>
      </c>
      <c r="K21" s="53" t="s">
        <v>97</v>
      </c>
      <c r="L21" s="53" t="s">
        <v>98</v>
      </c>
      <c r="M21" s="53" t="s">
        <v>99</v>
      </c>
      <c r="N21" s="53" t="s">
        <v>100</v>
      </c>
      <c r="O21" s="53" t="s">
        <v>101</v>
      </c>
      <c r="P21" s="53" t="s">
        <v>102</v>
      </c>
      <c r="Q21" s="53" t="s">
        <v>103</v>
      </c>
      <c r="R21" s="53" t="s">
        <v>104</v>
      </c>
      <c r="S21" s="53" t="s">
        <v>105</v>
      </c>
      <c r="T21" s="53" t="s">
        <v>106</v>
      </c>
      <c r="U21" s="53" t="s">
        <v>107</v>
      </c>
      <c r="V21" s="53" t="s">
        <v>108</v>
      </c>
      <c r="W21" s="53" t="s">
        <v>109</v>
      </c>
      <c r="X21" s="53" t="s">
        <v>110</v>
      </c>
      <c r="Y21" s="53" t="s">
        <v>111</v>
      </c>
      <c r="Z21" s="53" t="s">
        <v>112</v>
      </c>
      <c r="AA21" s="53" t="s">
        <v>113</v>
      </c>
    </row>
    <row r="22" customFormat="false" ht="15" hidden="false" customHeight="false" outlineLevel="0" collapsed="false">
      <c r="B22" s="67" t="s">
        <v>148</v>
      </c>
      <c r="C22" s="68" t="n">
        <f aca="false">Regions!C19*1000/$C$6</f>
        <v>18187.9194630872</v>
      </c>
      <c r="D22" s="68" t="n">
        <f aca="false">Regions!D19*1000/$C$6</f>
        <v>18543.0872483221</v>
      </c>
      <c r="E22" s="68" t="n">
        <f aca="false">Regions!E19*1000/$C$6</f>
        <v>18905.2338255034</v>
      </c>
      <c r="F22" s="68" t="n">
        <f aca="false">Regions!F19*1000/$C$6</f>
        <v>19274.4971897987</v>
      </c>
      <c r="G22" s="68" t="n">
        <f aca="false">Regions!G19*1000/$C$6</f>
        <v>19651.0180823796</v>
      </c>
      <c r="H22" s="68" t="n">
        <f aca="false">Regions!H19*1000/$C$6</f>
        <v>20034.9400454115</v>
      </c>
      <c r="I22" s="68" t="n">
        <f aca="false">Regions!I19*1000/$C$6</f>
        <v>20426.4094781517</v>
      </c>
      <c r="J22" s="68" t="n">
        <f aca="false">Regions!J19*1000/$C$6</f>
        <v>20825.575694178</v>
      </c>
      <c r="K22" s="68" t="n">
        <f aca="false">Regions!K19*1000/$C$6</f>
        <v>21232.5909797713</v>
      </c>
      <c r="L22" s="68" t="n">
        <f aca="false">Regions!L19*1000/$C$6</f>
        <v>21647.6106534743</v>
      </c>
      <c r="M22" s="68" t="n">
        <f aca="false">Regions!M19*1000/$C$6</f>
        <v>22070.7931268514</v>
      </c>
      <c r="N22" s="68" t="n">
        <f aca="false">Regions!N19*1000/$C$6</f>
        <v>22502.2999664739</v>
      </c>
      <c r="O22" s="68" t="n">
        <f aca="false">Regions!O19*1000/$C$6</f>
        <v>22942.2959571549</v>
      </c>
      <c r="P22" s="68" t="n">
        <f aca="false">Regions!P19*1000/$C$6</f>
        <v>23390.949166459</v>
      </c>
      <c r="Q22" s="68" t="n">
        <f aca="false">Regions!Q19*1000/$C$6</f>
        <v>23848.4310105147</v>
      </c>
      <c r="R22" s="68" t="n">
        <f aca="false">Regions!R19*1000/$C$6</f>
        <v>24314.9163211527</v>
      </c>
      <c r="S22" s="68" t="n">
        <f aca="false">Regions!S19*1000/$C$6</f>
        <v>24790.5834143998</v>
      </c>
      <c r="T22" s="68" t="n">
        <f aca="false">Regions!T19*1000/$C$6</f>
        <v>25275.6141603546</v>
      </c>
      <c r="U22" s="68" t="n">
        <f aca="false">Regions!U19*1000/$C$6</f>
        <v>25770.1940544734</v>
      </c>
      <c r="V22" s="68" t="n">
        <f aca="false">Regions!V19*1000/$C$6</f>
        <v>26274.5122902945</v>
      </c>
      <c r="W22" s="68" t="n">
        <f aca="false">Regions!W19*1000/$C$6</f>
        <v>26788.7618336307</v>
      </c>
      <c r="X22" s="68" t="n">
        <f aca="false">Regions!X19*1000/$C$6</f>
        <v>27313.1394982599</v>
      </c>
      <c r="Y22" s="68" t="n">
        <f aca="false">Regions!Y19*1000/$C$6</f>
        <v>27847.8460231431</v>
      </c>
      <c r="Z22" s="68" t="n">
        <f aca="false">Regions!Z19*1000/$C$6</f>
        <v>28393.0861512025</v>
      </c>
      <c r="AA22" s="68" t="n">
        <f aca="false">Regions!AA19*1000/$C$6</f>
        <v>28949.0687096896</v>
      </c>
    </row>
    <row r="23" customFormat="false" ht="15" hidden="false" customHeight="false" outlineLevel="0" collapsed="false">
      <c r="B23" s="67" t="s">
        <v>149</v>
      </c>
      <c r="C23" s="69" t="n">
        <f aca="false">C22*$C$7</f>
        <v>8184.56375838926</v>
      </c>
      <c r="D23" s="69" t="n">
        <f aca="false">D22*$C$7</f>
        <v>8344.38926174497</v>
      </c>
      <c r="E23" s="69" t="n">
        <f aca="false">E22*$C$7</f>
        <v>8507.35522147651</v>
      </c>
      <c r="F23" s="69" t="n">
        <f aca="false">F22*$C$7</f>
        <v>8673.5237354094</v>
      </c>
      <c r="G23" s="69" t="n">
        <f aca="false">G22*$C$7</f>
        <v>8842.95813707082</v>
      </c>
      <c r="H23" s="69" t="n">
        <f aca="false">H22*$C$7</f>
        <v>9015.72302043518</v>
      </c>
      <c r="I23" s="69" t="n">
        <f aca="false">I22*$C$7</f>
        <v>9191.88426516826</v>
      </c>
      <c r="J23" s="69" t="n">
        <f aca="false">J22*$C$7</f>
        <v>9371.50906238011</v>
      </c>
      <c r="K23" s="69" t="n">
        <f aca="false">K22*$C$7</f>
        <v>9554.66594089709</v>
      </c>
      <c r="L23" s="69" t="n">
        <f aca="false">L22*$C$7</f>
        <v>9741.42479406342</v>
      </c>
      <c r="M23" s="69" t="n">
        <f aca="false">M22*$C$7</f>
        <v>9931.85690708312</v>
      </c>
      <c r="N23" s="69" t="n">
        <f aca="false">N22*$C$7</f>
        <v>10126.0349849133</v>
      </c>
      <c r="O23" s="69" t="n">
        <f aca="false">O22*$C$7</f>
        <v>10324.0331807197</v>
      </c>
      <c r="P23" s="69" t="n">
        <f aca="false">P22*$C$7</f>
        <v>10525.9271249066</v>
      </c>
      <c r="Q23" s="69" t="n">
        <f aca="false">Q22*$C$7</f>
        <v>10731.7939547316</v>
      </c>
      <c r="R23" s="69" t="n">
        <f aca="false">R22*$C$7</f>
        <v>10941.7123445187</v>
      </c>
      <c r="S23" s="69" t="n">
        <f aca="false">S22*$C$7</f>
        <v>11155.7625364799</v>
      </c>
      <c r="T23" s="69" t="n">
        <f aca="false">T22*$C$7</f>
        <v>11374.0263721596</v>
      </c>
      <c r="U23" s="69" t="n">
        <f aca="false">U22*$C$7</f>
        <v>11596.587324513</v>
      </c>
      <c r="V23" s="69" t="n">
        <f aca="false">V22*$C$7</f>
        <v>11823.5305306325</v>
      </c>
      <c r="W23" s="69" t="n">
        <f aca="false">W22*$C$7</f>
        <v>12054.9428251338</v>
      </c>
      <c r="X23" s="69" t="n">
        <f aca="false">X22*$C$7</f>
        <v>12290.912774217</v>
      </c>
      <c r="Y23" s="69" t="n">
        <f aca="false">Y22*$C$7</f>
        <v>12531.5307104144</v>
      </c>
      <c r="Z23" s="69" t="n">
        <f aca="false">Z22*$C$7</f>
        <v>12776.8887680411</v>
      </c>
      <c r="AA23" s="69" t="n">
        <f aca="false">AA22*$C$7</f>
        <v>13027.0809193603</v>
      </c>
    </row>
    <row r="24" customFormat="false" ht="15" hidden="false" customHeight="false" outlineLevel="0" collapsed="false">
      <c r="B24" s="67" t="s">
        <v>150</v>
      </c>
      <c r="C24" s="69" t="n">
        <f aca="false">C22*$C$8</f>
        <v>10003.355704698</v>
      </c>
      <c r="D24" s="69" t="n">
        <f aca="false">D22*$C$8</f>
        <v>10198.6979865772</v>
      </c>
      <c r="E24" s="69" t="n">
        <f aca="false">E22*$C$8</f>
        <v>10397.8786040268</v>
      </c>
      <c r="F24" s="69" t="n">
        <f aca="false">F22*$C$8</f>
        <v>10600.9734543893</v>
      </c>
      <c r="G24" s="69" t="n">
        <f aca="false">G22*$C$8</f>
        <v>10808.0599453088</v>
      </c>
      <c r="H24" s="69" t="n">
        <f aca="false">H22*$C$8</f>
        <v>11019.2170249763</v>
      </c>
      <c r="I24" s="69" t="n">
        <f aca="false">I22*$C$8</f>
        <v>11234.5252129834</v>
      </c>
      <c r="J24" s="69" t="n">
        <f aca="false">J22*$C$8</f>
        <v>11454.0666317979</v>
      </c>
      <c r="K24" s="69" t="n">
        <f aca="false">K22*$C$8</f>
        <v>11677.9250388742</v>
      </c>
      <c r="L24" s="69" t="n">
        <f aca="false">L22*$C$8</f>
        <v>11906.1858594108</v>
      </c>
      <c r="M24" s="69" t="n">
        <f aca="false">M22*$C$8</f>
        <v>12138.9362197683</v>
      </c>
      <c r="N24" s="69" t="n">
        <f aca="false">N22*$C$8</f>
        <v>12376.2649815607</v>
      </c>
      <c r="O24" s="69" t="n">
        <f aca="false">O22*$C$8</f>
        <v>12618.2627764352</v>
      </c>
      <c r="P24" s="69" t="n">
        <f aca="false">P22*$C$8</f>
        <v>12865.0220415525</v>
      </c>
      <c r="Q24" s="69" t="n">
        <f aca="false">Q22*$C$8</f>
        <v>13116.6370557831</v>
      </c>
      <c r="R24" s="69" t="n">
        <f aca="false">R22*$C$8</f>
        <v>13373.203976634</v>
      </c>
      <c r="S24" s="69" t="n">
        <f aca="false">S22*$C$8</f>
        <v>13634.8208779199</v>
      </c>
      <c r="T24" s="69" t="n">
        <f aca="false">T22*$C$8</f>
        <v>13901.5877881951</v>
      </c>
      <c r="U24" s="69" t="n">
        <f aca="false">U22*$C$8</f>
        <v>14173.6067299604</v>
      </c>
      <c r="V24" s="69" t="n">
        <f aca="false">V22*$C$8</f>
        <v>14450.981759662</v>
      </c>
      <c r="W24" s="69" t="n">
        <f aca="false">W22*$C$8</f>
        <v>14733.8190084969</v>
      </c>
      <c r="X24" s="69" t="n">
        <f aca="false">X22*$C$8</f>
        <v>15022.2267240429</v>
      </c>
      <c r="Y24" s="69" t="n">
        <f aca="false">Y22*$C$8</f>
        <v>15316.3153127287</v>
      </c>
      <c r="Z24" s="69" t="n">
        <f aca="false">Z22*$C$8</f>
        <v>15616.1973831614</v>
      </c>
      <c r="AA24" s="69" t="n">
        <f aca="false">AA22*$C$8</f>
        <v>15921.9877903293</v>
      </c>
    </row>
    <row r="25" customFormat="false" ht="15" hidden="false" customHeight="false" outlineLevel="0" collapsed="false">
      <c r="B25" s="67" t="s">
        <v>151</v>
      </c>
      <c r="C25" s="70" t="n">
        <f aca="false">C24/($C$9*$C$10*$E$14)</f>
        <v>54.1307126877597</v>
      </c>
      <c r="D25" s="70" t="n">
        <f aca="false">D24/($C$9*$C$10*$E$14)</f>
        <v>55.1877596676254</v>
      </c>
      <c r="E25" s="70" t="n">
        <f aca="false">E24/($C$9*$C$10*$E$14)</f>
        <v>56.2655768616171</v>
      </c>
      <c r="F25" s="70" t="n">
        <f aca="false">F24/($C$9*$C$10*$E$14)</f>
        <v>57.3645749696389</v>
      </c>
      <c r="G25" s="70" t="n">
        <f aca="false">G24/($C$9*$C$10*$E$14)</f>
        <v>58.485172864225</v>
      </c>
      <c r="H25" s="70" t="n">
        <f aca="false">H24/($C$9*$C$10*$E$14)</f>
        <v>59.6277977542009</v>
      </c>
      <c r="I25" s="70" t="n">
        <f aca="false">I24/($C$9*$C$10*$E$14)</f>
        <v>60.7928853516419</v>
      </c>
      <c r="J25" s="70" t="n">
        <f aca="false">J24/($C$9*$C$10*$E$14)</f>
        <v>61.9808800421965</v>
      </c>
      <c r="K25" s="70" t="n">
        <f aca="false">K24/($C$9*$C$10*$E$14)</f>
        <v>63.1922350588432</v>
      </c>
      <c r="L25" s="70" t="n">
        <f aca="false">L24/($C$9*$C$10*$E$14)</f>
        <v>64.4274126591496</v>
      </c>
      <c r="M25" s="70" t="n">
        <f aca="false">M24/($C$9*$C$10*$E$14)</f>
        <v>65.6868843061053</v>
      </c>
      <c r="N25" s="70" t="n">
        <f aca="false">N24/($C$9*$C$10*$E$14)</f>
        <v>66.971130852601</v>
      </c>
      <c r="O25" s="70" t="n">
        <f aca="false">O24/($C$9*$C$10*$E$14)</f>
        <v>68.2806427296275</v>
      </c>
      <c r="P25" s="70" t="n">
        <f aca="false">P24/($C$9*$C$10*$E$14)</f>
        <v>69.6159201382709</v>
      </c>
      <c r="Q25" s="70" t="n">
        <f aca="false">Q24/($C$9*$C$10*$E$14)</f>
        <v>70.9774732455796</v>
      </c>
      <c r="R25" s="70" t="n">
        <f aca="false">R24/($C$9*$C$10*$E$14)</f>
        <v>72.3658223843831</v>
      </c>
      <c r="S25" s="70" t="n">
        <f aca="false">S24/($C$9*$C$10*$E$14)</f>
        <v>73.7814982571423</v>
      </c>
      <c r="T25" s="70" t="n">
        <f aca="false">T24/($C$9*$C$10*$E$14)</f>
        <v>75.2250421439126</v>
      </c>
      <c r="U25" s="70" t="n">
        <f aca="false">U24/($C$9*$C$10*$E$14)</f>
        <v>76.6970061145042</v>
      </c>
      <c r="V25" s="70" t="n">
        <f aca="false">V24/($C$9*$C$10*$E$14)</f>
        <v>78.197953244924</v>
      </c>
      <c r="W25" s="70" t="n">
        <f aca="false">W24/($C$9*$C$10*$E$14)</f>
        <v>79.7284578381866</v>
      </c>
      <c r="X25" s="70" t="n">
        <f aca="false">X24/($C$9*$C$10*$E$14)</f>
        <v>81.289105649583</v>
      </c>
      <c r="Y25" s="70" t="n">
        <f aca="false">Y24/($C$9*$C$10*$E$14)</f>
        <v>82.8804941164975</v>
      </c>
      <c r="Z25" s="70" t="n">
        <f aca="false">Z24/($C$9*$C$10*$E$14)</f>
        <v>84.5032325928647</v>
      </c>
      <c r="AA25" s="70" t="n">
        <f aca="false">AA24/($C$9*$C$10*$E$14)</f>
        <v>86.1579425883621</v>
      </c>
    </row>
    <row r="26" customFormat="false" ht="15" hidden="false" customHeight="false" outlineLevel="0" collapsed="false">
      <c r="B26" s="67" t="s">
        <v>152</v>
      </c>
      <c r="C26" s="70" t="n">
        <f aca="false">C23/($C$9*$C$10*$E$15)</f>
        <v>30.4485258868648</v>
      </c>
      <c r="D26" s="70" t="n">
        <f aca="false">D23/($C$9*$C$10*$E$15)</f>
        <v>31.0431148130393</v>
      </c>
      <c r="E26" s="70" t="n">
        <f aca="false">E23/($C$9*$C$10*$E$15)</f>
        <v>31.6493869846596</v>
      </c>
      <c r="F26" s="70" t="n">
        <f aca="false">F23/($C$9*$C$10*$E$15)</f>
        <v>32.2675734204219</v>
      </c>
      <c r="G26" s="70" t="n">
        <f aca="false">G23/($C$9*$C$10*$E$15)</f>
        <v>32.8979097361266</v>
      </c>
      <c r="H26" s="70" t="n">
        <f aca="false">H23/($C$9*$C$10*$E$15)</f>
        <v>33.540636236738</v>
      </c>
      <c r="I26" s="70" t="n">
        <f aca="false">I23/($C$9*$C$10*$E$15)</f>
        <v>34.1959980102986</v>
      </c>
      <c r="J26" s="70" t="n">
        <f aca="false">J23/($C$9*$C$10*$E$15)</f>
        <v>34.8642450237355</v>
      </c>
      <c r="K26" s="70" t="n">
        <f aca="false">K23/($C$9*$C$10*$E$15)</f>
        <v>35.5456322205993</v>
      </c>
      <c r="L26" s="70" t="n">
        <f aca="false">L23/($C$9*$C$10*$E$15)</f>
        <v>36.2404196207716</v>
      </c>
      <c r="M26" s="70" t="n">
        <f aca="false">M23/($C$9*$C$10*$E$15)</f>
        <v>36.9488724221842</v>
      </c>
      <c r="N26" s="70" t="n">
        <f aca="false">N23/($C$9*$C$10*$E$15)</f>
        <v>37.6712611045881</v>
      </c>
      <c r="O26" s="70" t="n">
        <f aca="false">O23/($C$9*$C$10*$E$15)</f>
        <v>38.4078615354155</v>
      </c>
      <c r="P26" s="70" t="n">
        <f aca="false">P23/($C$9*$C$10*$E$15)</f>
        <v>39.1589550777774</v>
      </c>
      <c r="Q26" s="70" t="n">
        <f aca="false">Q23/($C$9*$C$10*$E$15)</f>
        <v>39.9248287006385</v>
      </c>
      <c r="R26" s="70" t="n">
        <f aca="false">R23/($C$9*$C$10*$E$15)</f>
        <v>40.7057750912155</v>
      </c>
      <c r="S26" s="70" t="n">
        <f aca="false">S23/($C$9*$C$10*$E$15)</f>
        <v>41.5020927696425</v>
      </c>
      <c r="T26" s="70" t="n">
        <f aca="false">T23/($C$9*$C$10*$E$15)</f>
        <v>42.3140862059508</v>
      </c>
      <c r="U26" s="70" t="n">
        <f aca="false">U23/($C$9*$C$10*$E$15)</f>
        <v>43.1420659394086</v>
      </c>
      <c r="V26" s="70" t="n">
        <f aca="false">V23/($C$9*$C$10*$E$15)</f>
        <v>43.9863487002698</v>
      </c>
      <c r="W26" s="70" t="n">
        <f aca="false">W23/($C$9*$C$10*$E$15)</f>
        <v>44.84725753398</v>
      </c>
      <c r="X26" s="70" t="n">
        <f aca="false">X23/($C$9*$C$10*$E$15)</f>
        <v>45.7251219278905</v>
      </c>
      <c r="Y26" s="70" t="n">
        <f aca="false">Y23/($C$9*$C$10*$E$15)</f>
        <v>46.6202779405298</v>
      </c>
      <c r="Z26" s="70" t="n">
        <f aca="false">Z23/($C$9*$C$10*$E$15)</f>
        <v>47.5330683334864</v>
      </c>
      <c r="AA26" s="70" t="n">
        <f aca="false">AA23/($C$9*$C$10*$E$15)</f>
        <v>48.4638427059537</v>
      </c>
    </row>
    <row r="27" customFormat="false" ht="15" hidden="false" customHeight="false" outlineLevel="0" collapsed="false">
      <c r="B27" s="67" t="s">
        <v>153</v>
      </c>
      <c r="C27" s="70" t="n">
        <f aca="false">(C25+C26)*$E$16</f>
        <v>42.2896192873122</v>
      </c>
      <c r="D27" s="70" t="n">
        <f aca="false">(D25+D26)*$E$16</f>
        <v>43.1154372403324</v>
      </c>
      <c r="E27" s="70" t="n">
        <f aca="false">(E25+E26)*$E$16</f>
        <v>43.9574819231384</v>
      </c>
      <c r="F27" s="70" t="n">
        <f aca="false">(F25+F26)*$E$16</f>
        <v>44.8160741950304</v>
      </c>
      <c r="G27" s="70" t="n">
        <f aca="false">(G25+G26)*$E$16</f>
        <v>45.6915413001758</v>
      </c>
      <c r="H27" s="70" t="n">
        <f aca="false">(H25+H26)*$E$16</f>
        <v>46.5842169954695</v>
      </c>
      <c r="I27" s="70" t="n">
        <f aca="false">(I25+I26)*$E$16</f>
        <v>47.4944416809702</v>
      </c>
      <c r="J27" s="70" t="n">
        <f aca="false">(J25+J26)*$E$16</f>
        <v>48.422562532966</v>
      </c>
      <c r="K27" s="70" t="n">
        <f aca="false">(K25+K26)*$E$16</f>
        <v>49.3689336397212</v>
      </c>
      <c r="L27" s="70" t="n">
        <f aca="false">(L25+L26)*$E$16</f>
        <v>50.3339161399606</v>
      </c>
      <c r="M27" s="70" t="n">
        <f aca="false">(M25+M26)*$E$16</f>
        <v>51.3178783641448</v>
      </c>
      <c r="N27" s="70" t="n">
        <f aca="false">(N25+N26)*$E$16</f>
        <v>52.3211959785945</v>
      </c>
      <c r="O27" s="70" t="n">
        <f aca="false">(O25+O26)*$E$16</f>
        <v>53.3442521325215</v>
      </c>
      <c r="P27" s="70" t="n">
        <f aca="false">(P25+P26)*$E$16</f>
        <v>54.3874376080242</v>
      </c>
      <c r="Q27" s="70" t="n">
        <f aca="false">(Q25+Q26)*$E$16</f>
        <v>55.451150973109</v>
      </c>
      <c r="R27" s="70" t="n">
        <f aca="false">(R25+R26)*$E$16</f>
        <v>56.5357987377993</v>
      </c>
      <c r="S27" s="70" t="n">
        <f aca="false">(S25+S26)*$E$16</f>
        <v>57.6417955133924</v>
      </c>
      <c r="T27" s="70" t="n">
        <f aca="false">(T25+T26)*$E$16</f>
        <v>58.7695641749317</v>
      </c>
      <c r="U27" s="70" t="n">
        <f aca="false">(U25+U26)*$E$16</f>
        <v>59.9195360269564</v>
      </c>
      <c r="V27" s="70" t="n">
        <f aca="false">(V25+V26)*$E$16</f>
        <v>61.0921509725969</v>
      </c>
      <c r="W27" s="70" t="n">
        <f aca="false">(W25+W26)*$E$16</f>
        <v>62.2878576860833</v>
      </c>
      <c r="X27" s="70" t="n">
        <f aca="false">(X25+X26)*$E$16</f>
        <v>63.5071137887367</v>
      </c>
      <c r="Y27" s="70" t="n">
        <f aca="false">(Y25+Y26)*$E$16</f>
        <v>64.7503860285137</v>
      </c>
      <c r="Z27" s="70" t="n">
        <f aca="false">(Z25+Z26)*$E$16</f>
        <v>66.0181504631755</v>
      </c>
      <c r="AA27" s="70" t="n">
        <f aca="false">(AA25+AA26)*$E$16</f>
        <v>67.3108926471579</v>
      </c>
    </row>
    <row r="28" customFormat="false" ht="15" hidden="false" customHeight="false" outlineLevel="0" collapsed="false">
      <c r="B28" s="67" t="s">
        <v>154</v>
      </c>
      <c r="C28" s="70" t="n">
        <f aca="false">C25*$E$17</f>
        <v>43.3045701502077</v>
      </c>
      <c r="D28" s="70" t="n">
        <f aca="false">D25*$E$17</f>
        <v>44.1502077341004</v>
      </c>
      <c r="E28" s="70" t="n">
        <f aca="false">E25*$E$17</f>
        <v>45.0124614892937</v>
      </c>
      <c r="F28" s="70" t="n">
        <f aca="false">F25*$E$17</f>
        <v>45.8916599757111</v>
      </c>
      <c r="G28" s="70" t="n">
        <f aca="false">G25*$E$17</f>
        <v>46.78813829138</v>
      </c>
      <c r="H28" s="70" t="n">
        <f aca="false">H25*$E$17</f>
        <v>47.7022382033608</v>
      </c>
      <c r="I28" s="70" t="n">
        <f aca="false">I25*$E$17</f>
        <v>48.6343082813135</v>
      </c>
      <c r="J28" s="70" t="n">
        <f aca="false">J25*$E$17</f>
        <v>49.5847040337572</v>
      </c>
      <c r="K28" s="70" t="n">
        <f aca="false">K25*$E$17</f>
        <v>50.5537880470746</v>
      </c>
      <c r="L28" s="70" t="n">
        <f aca="false">L25*$E$17</f>
        <v>51.5419301273197</v>
      </c>
      <c r="M28" s="70" t="n">
        <f aca="false">M25*$E$17</f>
        <v>52.5495074448842</v>
      </c>
      <c r="N28" s="70" t="n">
        <f aca="false">N25*$E$17</f>
        <v>53.5769046820808</v>
      </c>
      <c r="O28" s="70" t="n">
        <f aca="false">O25*$E$17</f>
        <v>54.624514183702</v>
      </c>
      <c r="P28" s="70" t="n">
        <f aca="false">P25*$E$17</f>
        <v>55.6927361106168</v>
      </c>
      <c r="Q28" s="70" t="n">
        <f aca="false">Q25*$E$17</f>
        <v>56.7819785964637</v>
      </c>
      <c r="R28" s="70" t="n">
        <f aca="false">R25*$E$17</f>
        <v>57.8926579075065</v>
      </c>
      <c r="S28" s="70" t="n">
        <f aca="false">S25*$E$17</f>
        <v>59.0251986057138</v>
      </c>
      <c r="T28" s="70" t="n">
        <f aca="false">T25*$E$17</f>
        <v>60.1800337151301</v>
      </c>
      <c r="U28" s="70" t="n">
        <f aca="false">U25*$E$17</f>
        <v>61.3576048916034</v>
      </c>
      <c r="V28" s="70" t="n">
        <f aca="false">V25*$E$17</f>
        <v>62.5583625959392</v>
      </c>
      <c r="W28" s="70" t="n">
        <f aca="false">W25*$E$17</f>
        <v>63.7827662705493</v>
      </c>
      <c r="X28" s="70" t="n">
        <f aca="false">X25*$E$17</f>
        <v>65.0312845196664</v>
      </c>
      <c r="Y28" s="70" t="n">
        <f aca="false">Y25*$E$17</f>
        <v>66.304395293198</v>
      </c>
      <c r="Z28" s="70" t="n">
        <f aca="false">Z25*$E$17</f>
        <v>67.6025860742917</v>
      </c>
      <c r="AA28" s="70" t="n">
        <f aca="false">AA25*$E$17</f>
        <v>68.9263540706896</v>
      </c>
    </row>
    <row r="29" customFormat="false" ht="15" hidden="false" customHeight="false" outlineLevel="0" collapsed="false">
      <c r="B29" s="67" t="s">
        <v>155</v>
      </c>
      <c r="C29" s="70" t="n">
        <f aca="false">(C25+C26)*$E$18</f>
        <v>25.3737715723873</v>
      </c>
      <c r="D29" s="70" t="n">
        <f aca="false">(D25+D26)*$E$18</f>
        <v>25.8692623441994</v>
      </c>
      <c r="E29" s="70" t="n">
        <f aca="false">(E25+E26)*$E$18</f>
        <v>26.374489153883</v>
      </c>
      <c r="F29" s="70" t="n">
        <f aca="false">(F25+F26)*$E$18</f>
        <v>26.8896445170182</v>
      </c>
      <c r="G29" s="70" t="n">
        <f aca="false">(G25+G26)*$E$18</f>
        <v>27.4149247801055</v>
      </c>
      <c r="H29" s="70" t="n">
        <f aca="false">(H25+H26)*$E$18</f>
        <v>27.9505301972817</v>
      </c>
      <c r="I29" s="70" t="n">
        <f aca="false">(I25+I26)*$E$18</f>
        <v>28.4966650085821</v>
      </c>
      <c r="J29" s="70" t="n">
        <f aca="false">(J25+J26)*$E$18</f>
        <v>29.0535375197796</v>
      </c>
      <c r="K29" s="70" t="n">
        <f aca="false">(K25+K26)*$E$18</f>
        <v>29.6213601838327</v>
      </c>
      <c r="L29" s="70" t="n">
        <f aca="false">(L25+L26)*$E$18</f>
        <v>30.2003496839764</v>
      </c>
      <c r="M29" s="70" t="n">
        <f aca="false">(M25+M26)*$E$18</f>
        <v>30.7907270184869</v>
      </c>
      <c r="N29" s="70" t="n">
        <f aca="false">(N25+N26)*$E$18</f>
        <v>31.3927175871567</v>
      </c>
      <c r="O29" s="70" t="n">
        <f aca="false">(O25+O26)*$E$18</f>
        <v>32.0065512795129</v>
      </c>
      <c r="P29" s="70" t="n">
        <f aca="false">(P25+P26)*$E$18</f>
        <v>32.6324625648145</v>
      </c>
      <c r="Q29" s="70" t="n">
        <f aca="false">(Q25+Q26)*$E$18</f>
        <v>33.2706905838654</v>
      </c>
      <c r="R29" s="70" t="n">
        <f aca="false">(R25+R26)*$E$18</f>
        <v>33.9214792426796</v>
      </c>
      <c r="S29" s="70" t="n">
        <f aca="false">(S25+S26)*$E$18</f>
        <v>34.5850773080354</v>
      </c>
      <c r="T29" s="70" t="n">
        <f aca="false">(T25+T26)*$E$18</f>
        <v>35.261738504959</v>
      </c>
      <c r="U29" s="70" t="n">
        <f aca="false">(U25+U26)*$E$18</f>
        <v>35.9517216161739</v>
      </c>
      <c r="V29" s="70" t="n">
        <f aca="false">(V25+V26)*$E$18</f>
        <v>36.6552905835581</v>
      </c>
      <c r="W29" s="70" t="n">
        <f aca="false">(W25+W26)*$E$18</f>
        <v>37.37271461165</v>
      </c>
      <c r="X29" s="70" t="n">
        <f aca="false">(X25+X26)*$E$18</f>
        <v>38.1042682732421</v>
      </c>
      <c r="Y29" s="70" t="n">
        <f aca="false">(Y25+Y26)*$E$18</f>
        <v>38.8502316171082</v>
      </c>
      <c r="Z29" s="70" t="n">
        <f aca="false">(Z25+Z26)*$E$18</f>
        <v>39.6108902779053</v>
      </c>
      <c r="AA29" s="70" t="n">
        <f aca="false">(AA25+AA26)*$E$18</f>
        <v>40.3865355882947</v>
      </c>
    </row>
    <row r="30" customFormat="false" ht="15" hidden="false" customHeight="false" outlineLevel="0" collapsed="false">
      <c r="B30" s="67" t="s">
        <v>156</v>
      </c>
      <c r="C30" s="70" t="n">
        <f aca="false">(C25+C26)*$E$19</f>
        <v>10.1495086289549</v>
      </c>
      <c r="D30" s="70" t="n">
        <f aca="false">(D25+D26)*$E$19</f>
        <v>10.3477049376798</v>
      </c>
      <c r="E30" s="70" t="n">
        <f aca="false">(E25+E26)*$E$19</f>
        <v>10.5497956615532</v>
      </c>
      <c r="F30" s="70" t="n">
        <f aca="false">(F25+F26)*$E$19</f>
        <v>10.7558578068073</v>
      </c>
      <c r="G30" s="70" t="n">
        <f aca="false">(G25+G26)*$E$19</f>
        <v>10.9659699120422</v>
      </c>
      <c r="H30" s="70" t="n">
        <f aca="false">(H25+H26)*$E$19</f>
        <v>11.1802120789127</v>
      </c>
      <c r="I30" s="70" t="n">
        <f aca="false">(I25+I26)*$E$19</f>
        <v>11.3986660034329</v>
      </c>
      <c r="J30" s="70" t="n">
        <f aca="false">(J25+J26)*$E$19</f>
        <v>11.6214150079118</v>
      </c>
      <c r="K30" s="70" t="n">
        <f aca="false">(K25+K26)*$E$19</f>
        <v>11.8485440735331</v>
      </c>
      <c r="L30" s="70" t="n">
        <f aca="false">(L25+L26)*$E$19</f>
        <v>12.0801398735905</v>
      </c>
      <c r="M30" s="70" t="n">
        <f aca="false">(M25+M26)*$E$19</f>
        <v>12.3162908073947</v>
      </c>
      <c r="N30" s="70" t="n">
        <f aca="false">(N25+N26)*$E$19</f>
        <v>12.5570870348627</v>
      </c>
      <c r="O30" s="70" t="n">
        <f aca="false">(O25+O26)*$E$19</f>
        <v>12.8026205118052</v>
      </c>
      <c r="P30" s="70" t="n">
        <f aca="false">(P25+P26)*$E$19</f>
        <v>13.0529850259258</v>
      </c>
      <c r="Q30" s="70" t="n">
        <f aca="false">(Q25+Q26)*$E$19</f>
        <v>13.3082762335462</v>
      </c>
      <c r="R30" s="70" t="n">
        <f aca="false">(R25+R26)*$E$19</f>
        <v>13.5685916970718</v>
      </c>
      <c r="S30" s="70" t="n">
        <f aca="false">(S25+S26)*$E$19</f>
        <v>13.8340309232142</v>
      </c>
      <c r="T30" s="70" t="n">
        <f aca="false">(T25+T26)*$E$19</f>
        <v>14.1046954019836</v>
      </c>
      <c r="U30" s="70" t="n">
        <f aca="false">(U25+U26)*$E$19</f>
        <v>14.3806886464695</v>
      </c>
      <c r="V30" s="70" t="n">
        <f aca="false">(V25+V26)*$E$19</f>
        <v>14.6621162334233</v>
      </c>
      <c r="W30" s="70" t="n">
        <f aca="false">(W25+W26)*$E$19</f>
        <v>14.94908584466</v>
      </c>
      <c r="X30" s="70" t="n">
        <f aca="false">(X25+X26)*$E$19</f>
        <v>15.2417073092968</v>
      </c>
      <c r="Y30" s="70" t="n">
        <f aca="false">(Y25+Y26)*$E$19</f>
        <v>15.5400926468433</v>
      </c>
      <c r="Z30" s="70" t="n">
        <f aca="false">(Z25+Z26)*$E$19</f>
        <v>15.8443561111621</v>
      </c>
      <c r="AA30" s="70" t="n">
        <f aca="false">(AA25+AA26)*$E$19</f>
        <v>16.1546142353179</v>
      </c>
    </row>
    <row r="31" customFormat="false" ht="15" hidden="false" customHeight="false" outlineLevel="0" collapsed="false">
      <c r="B31" s="19" t="s">
        <v>157</v>
      </c>
      <c r="C31" s="71" t="n">
        <f aca="false">SUM(C25:C30)</f>
        <v>205.696708213487</v>
      </c>
      <c r="D31" s="71" t="n">
        <f aca="false">SUM(D25:D30)</f>
        <v>209.713486736977</v>
      </c>
      <c r="E31" s="71" t="n">
        <f aca="false">SUM(E25:E30)</f>
        <v>213.809192074145</v>
      </c>
      <c r="F31" s="71" t="n">
        <f aca="false">SUM(F25:F30)</f>
        <v>217.985384884628</v>
      </c>
      <c r="G31" s="71" t="n">
        <f aca="false">SUM(G25:G30)</f>
        <v>222.243656884055</v>
      </c>
      <c r="H31" s="71" t="n">
        <f aca="false">SUM(H25:H30)</f>
        <v>226.585631465964</v>
      </c>
      <c r="I31" s="71" t="n">
        <f aca="false">SUM(I25:I30)</f>
        <v>231.012964336239</v>
      </c>
      <c r="J31" s="71" t="n">
        <f aca="false">SUM(J25:J30)</f>
        <v>235.527344160347</v>
      </c>
      <c r="K31" s="71" t="n">
        <f aca="false">SUM(K25:K30)</f>
        <v>240.130493223604</v>
      </c>
      <c r="L31" s="71" t="n">
        <f aca="false">SUM(L25:L30)</f>
        <v>244.824168104768</v>
      </c>
      <c r="M31" s="71" t="n">
        <f aca="false">SUM(M25:M30)</f>
        <v>249.6101603632</v>
      </c>
      <c r="N31" s="71" t="n">
        <f aca="false">SUM(N25:N30)</f>
        <v>254.490297239884</v>
      </c>
      <c r="O31" s="71" t="n">
        <f aca="false">SUM(O25:O30)</f>
        <v>259.466442372585</v>
      </c>
      <c r="P31" s="71" t="n">
        <f aca="false">SUM(P25:P30)</f>
        <v>264.54049652543</v>
      </c>
      <c r="Q31" s="71" t="n">
        <f aca="false">SUM(Q25:Q30)</f>
        <v>269.714398333202</v>
      </c>
      <c r="R31" s="71" t="n">
        <f aca="false">SUM(R25:R30)</f>
        <v>274.990125060656</v>
      </c>
      <c r="S31" s="71" t="n">
        <f aca="false">SUM(S25:S30)</f>
        <v>280.369693377141</v>
      </c>
      <c r="T31" s="71" t="n">
        <f aca="false">SUM(T25:T30)</f>
        <v>285.855160146868</v>
      </c>
      <c r="U31" s="71" t="n">
        <f aca="false">SUM(U25:U30)</f>
        <v>291.448623235116</v>
      </c>
      <c r="V31" s="71" t="n">
        <f aca="false">SUM(V25:V30)</f>
        <v>297.152222330711</v>
      </c>
      <c r="W31" s="71" t="n">
        <f aca="false">SUM(W25:W30)</f>
        <v>302.968139785109</v>
      </c>
      <c r="X31" s="71" t="n">
        <f aca="false">SUM(X25:X30)</f>
        <v>308.898601468416</v>
      </c>
      <c r="Y31" s="71" t="n">
        <f aca="false">SUM(Y25:Y30)</f>
        <v>314.94587764269</v>
      </c>
      <c r="Z31" s="71" t="n">
        <f aca="false">SUM(Z25:Z30)</f>
        <v>321.112283852886</v>
      </c>
      <c r="AA31" s="71" t="n">
        <f aca="false">SUM(AA25:AA30)</f>
        <v>327.400181835776</v>
      </c>
    </row>
    <row r="32" customFormat="false" ht="15" hidden="false" customHeight="false" outlineLevel="0" collapsed="false">
      <c r="B32" s="19" t="s">
        <v>158</v>
      </c>
      <c r="C32" s="57" t="n">
        <f aca="false">(C25*$F$14+C26*$F$15+C27*$F$16+C28*$F$17+C29*$F$18+C30*$F$19)/12/1000</f>
        <v>2725.84789386252</v>
      </c>
      <c r="D32" s="57" t="n">
        <f aca="false">(D25*$F$14+D26*$F$15+D27*$F$16+D28*$F$17+D29*$F$18+D30*$F$19)/12/1000</f>
        <v>2779.07736638769</v>
      </c>
      <c r="E32" s="57" t="n">
        <f aca="false">(E25*$F$14+E26*$F$15+E27*$F$16+E28*$F$17+E29*$F$18+E30*$F$19)/12/1000</f>
        <v>2833.35275982576</v>
      </c>
      <c r="F32" s="57" t="n">
        <f aca="false">(F25*$F$14+F26*$F$15+F27*$F$16+F28*$F$17+F29*$F$18+F30*$F$19)/12/1000</f>
        <v>2888.69475569767</v>
      </c>
      <c r="G32" s="57" t="n">
        <f aca="false">(G25*$F$14+G26*$F$15+G27*$F$16+G28*$F$17+G29*$F$18+G30*$F$19)/12/1000</f>
        <v>2945.12444707166</v>
      </c>
      <c r="H32" s="57" t="n">
        <f aca="false">(H25*$F$14+H26*$F$15+H27*$F$16+H28*$F$17+H29*$F$18+H30*$F$19)/12/1000</f>
        <v>3002.66334680465</v>
      </c>
      <c r="I32" s="57" t="n">
        <f aca="false">(I25*$F$14+I26*$F$15+I27*$F$16+I28*$F$17+I29*$F$18+I30*$F$19)/12/1000</f>
        <v>3061.33339594974</v>
      </c>
      <c r="J32" s="57" t="n">
        <f aca="false">(J25*$F$14+J26*$F$15+J27*$F$16+J28*$F$17+J29*$F$18+J30*$F$19)/12/1000</f>
        <v>3121.15697233321</v>
      </c>
      <c r="K32" s="57" t="n">
        <f aca="false">(K25*$F$14+K26*$F$15+K27*$F$16+K28*$F$17+K29*$F$18+K30*$F$19)/12/1000</f>
        <v>3182.1568993043</v>
      </c>
      <c r="L32" s="57" t="n">
        <f aca="false">(L25*$F$14+L26*$F$15+L27*$F$16+L28*$F$17+L29*$F$18+L30*$F$19)/12/1000</f>
        <v>3244.35645466139</v>
      </c>
      <c r="M32" s="57" t="n">
        <f aca="false">(M25*$F$14+M26*$F$15+M27*$F$16+M28*$F$17+M29*$F$18+M30*$F$19)/12/1000</f>
        <v>3307.77937975822</v>
      </c>
      <c r="N32" s="57" t="n">
        <f aca="false">(N25*$F$14+N26*$F$15+N27*$F$16+N28*$F$17+N29*$F$18+N30*$F$19)/12/1000</f>
        <v>3372.44988879361</v>
      </c>
      <c r="O32" s="57" t="n">
        <f aca="false">(O25*$F$14+O26*$F$15+O27*$F$16+O28*$F$17+O29*$F$18+O30*$F$19)/12/1000</f>
        <v>3438.39267828856</v>
      </c>
      <c r="P32" s="57" t="n">
        <f aca="false">(P25*$F$14+P26*$F$15+P27*$F$16+P28*$F$17+P29*$F$18+P30*$F$19)/12/1000</f>
        <v>3505.63293675454</v>
      </c>
      <c r="Q32" s="57" t="n">
        <f aca="false">(Q25*$F$14+Q26*$F$15+Q27*$F$16+Q28*$F$17+Q29*$F$18+Q30*$F$19)/12/1000</f>
        <v>3574.1963545567</v>
      </c>
      <c r="R32" s="57" t="n">
        <f aca="false">(R25*$F$14+R26*$F$15+R27*$F$16+R28*$F$17+R29*$F$18+R30*$F$19)/12/1000</f>
        <v>3644.10913397608</v>
      </c>
      <c r="S32" s="57" t="n">
        <f aca="false">(S25*$F$14+S26*$F$15+S27*$F$16+S28*$F$17+S29*$F$18+S30*$F$19)/12/1000</f>
        <v>3715.3979994749</v>
      </c>
      <c r="T32" s="57" t="n">
        <f aca="false">(T25*$F$14+T26*$F$15+T27*$F$16+T28*$F$17+T29*$F$18+T30*$F$19)/12/1000</f>
        <v>3788.09020816885</v>
      </c>
      <c r="U32" s="57" t="n">
        <f aca="false">(U25*$F$14+U26*$F$15+U27*$F$16+U28*$F$17+U29*$F$18+U30*$F$19)/12/1000</f>
        <v>3862.21356051086</v>
      </c>
      <c r="V32" s="57" t="n">
        <f aca="false">(V25*$F$14+V26*$F$15+V27*$F$16+V28*$F$17+V29*$F$18+V30*$F$19)/12/1000</f>
        <v>3937.79641119035</v>
      </c>
      <c r="W32" s="57" t="n">
        <f aca="false">(W25*$F$14+W26*$F$15+W27*$F$16+W28*$F$17+W29*$F$18+W30*$F$19)/12/1000</f>
        <v>4014.86768025264</v>
      </c>
      <c r="X32" s="57" t="n">
        <f aca="false">(X25*$F$14+X26*$F$15+X27*$F$16+X28*$F$17+X29*$F$18+X30*$F$19)/12/1000</f>
        <v>4093.45686444268</v>
      </c>
      <c r="Y32" s="57" t="n">
        <f aca="false">(Y25*$F$14+Y26*$F$15+Y27*$F$16+Y28*$F$17+Y29*$F$18+Y30*$F$19)/12/1000</f>
        <v>4173.59404877789</v>
      </c>
      <c r="Z32" s="57" t="n">
        <f aca="false">(Z25*$F$14+Z26*$F$15+Z27*$F$16+Z28*$F$17+Z29*$F$18+Z30*$F$19)/12/1000</f>
        <v>4255.30991835475</v>
      </c>
      <c r="AA32" s="57" t="n">
        <f aca="false">(AA25*$F$14+AA26*$F$15+AA27*$F$16+AA28*$F$17+AA29*$F$18+AA30*$F$19)/12/1000</f>
        <v>4338.63577039364</v>
      </c>
    </row>
    <row r="33" customFormat="false" ht="15" hidden="false" customHeight="false" outlineLevel="0" collapsed="false">
      <c r="B33" s="67" t="s">
        <v>159</v>
      </c>
      <c r="C33" s="55" t="n">
        <f aca="false">$C$11*Regions!C19</f>
        <v>991.86</v>
      </c>
      <c r="D33" s="55" t="n">
        <f aca="false">$C$11*Regions!D19</f>
        <v>1011.22872</v>
      </c>
      <c r="E33" s="55" t="n">
        <f aca="false">$C$11*Regions!E19</f>
        <v>1030.97802144</v>
      </c>
      <c r="F33" s="55" t="n">
        <f aca="false">$C$11*Regions!F19</f>
        <v>1051.11542974848</v>
      </c>
      <c r="G33" s="55" t="n">
        <f aca="false">$C$11*Regions!G19</f>
        <v>1071.64862010449</v>
      </c>
      <c r="H33" s="55" t="n">
        <f aca="false">$C$11*Regions!H19</f>
        <v>1092.58542043647</v>
      </c>
      <c r="I33" s="55" t="n">
        <f aca="false">$C$11*Regions!I19</f>
        <v>1113.93381448152</v>
      </c>
      <c r="J33" s="55" t="n">
        <f aca="false">$C$11*Regions!J19</f>
        <v>1135.7019449063</v>
      </c>
      <c r="K33" s="55" t="n">
        <f aca="false">$C$11*Regions!K19</f>
        <v>1157.89811649085</v>
      </c>
      <c r="L33" s="55" t="n">
        <f aca="false">$C$11*Regions!L19</f>
        <v>1180.53079937657</v>
      </c>
      <c r="M33" s="55" t="n">
        <f aca="false">$C$11*Regions!M19</f>
        <v>1203.60863237971</v>
      </c>
      <c r="N33" s="55" t="n">
        <f aca="false">$C$11*Regions!N19</f>
        <v>1227.14042637169</v>
      </c>
      <c r="O33" s="55" t="n">
        <f aca="false">$C$11*Regions!O19</f>
        <v>1251.13516772748</v>
      </c>
      <c r="P33" s="55" t="n">
        <f aca="false">$C$11*Regions!P19</f>
        <v>1275.60202184368</v>
      </c>
      <c r="Q33" s="55" t="n">
        <f aca="false">$C$11*Regions!Q19</f>
        <v>1300.55033672741</v>
      </c>
      <c r="R33" s="55" t="n">
        <f aca="false">$C$11*Regions!R19</f>
        <v>1325.98964665774</v>
      </c>
      <c r="S33" s="55" t="n">
        <f aca="false">$C$11*Regions!S19</f>
        <v>1351.92967592088</v>
      </c>
      <c r="T33" s="55" t="n">
        <f aca="false">$C$11*Regions!T19</f>
        <v>1378.38034262078</v>
      </c>
      <c r="U33" s="55" t="n">
        <f aca="false">$C$11*Regions!U19</f>
        <v>1405.35176256665</v>
      </c>
      <c r="V33" s="55" t="n">
        <f aca="false">$C$11*Regions!V19</f>
        <v>1432.85425323892</v>
      </c>
      <c r="W33" s="55" t="n">
        <f aca="false">$C$11*Regions!W19</f>
        <v>1460.89833783522</v>
      </c>
      <c r="X33" s="55" t="n">
        <f aca="false">$C$11*Regions!X19</f>
        <v>1489.49474939811</v>
      </c>
      <c r="Y33" s="55" t="n">
        <f aca="false">$C$11*Regions!Y19</f>
        <v>1518.65443502609</v>
      </c>
      <c r="Z33" s="55" t="n">
        <f aca="false">$C$11*Regions!Z19</f>
        <v>1548.38856016968</v>
      </c>
      <c r="AA33" s="55" t="n">
        <f aca="false">$C$11*Regions!AA19</f>
        <v>1578.70851301422</v>
      </c>
    </row>
    <row r="34" customFormat="false" ht="15" hidden="false" customHeight="false" outlineLevel="0" collapsed="false">
      <c r="B34" s="19" t="s">
        <v>160</v>
      </c>
      <c r="C34" s="56" t="n">
        <f aca="false">C32+C33</f>
        <v>3717.70789386252</v>
      </c>
      <c r="D34" s="56" t="n">
        <f aca="false">D32+D33</f>
        <v>3790.30608638769</v>
      </c>
      <c r="E34" s="56" t="n">
        <f aca="false">E32+E33</f>
        <v>3864.33078126576</v>
      </c>
      <c r="F34" s="56" t="n">
        <f aca="false">F32+F33</f>
        <v>3939.81018544615</v>
      </c>
      <c r="G34" s="56" t="n">
        <f aca="false">G32+G33</f>
        <v>4016.77306717615</v>
      </c>
      <c r="H34" s="56" t="n">
        <f aca="false">H32+H33</f>
        <v>4095.24876724112</v>
      </c>
      <c r="I34" s="56" t="n">
        <f aca="false">I32+I33</f>
        <v>4175.26721043126</v>
      </c>
      <c r="J34" s="56" t="n">
        <f aca="false">J32+J33</f>
        <v>4256.85891723952</v>
      </c>
      <c r="K34" s="56" t="n">
        <f aca="false">K32+K33</f>
        <v>4340.05501579515</v>
      </c>
      <c r="L34" s="56" t="n">
        <f aca="false">L32+L33</f>
        <v>4424.88725403796</v>
      </c>
      <c r="M34" s="56" t="n">
        <f aca="false">M32+M33</f>
        <v>4511.38801213794</v>
      </c>
      <c r="N34" s="56" t="n">
        <f aca="false">N32+N33</f>
        <v>4599.5903151653</v>
      </c>
      <c r="O34" s="56" t="n">
        <f aca="false">O32+O33</f>
        <v>4689.52784601604</v>
      </c>
      <c r="P34" s="56" t="n">
        <f aca="false">P32+P33</f>
        <v>4781.23495859822</v>
      </c>
      <c r="Q34" s="56" t="n">
        <f aca="false">Q32+Q33</f>
        <v>4874.74669128411</v>
      </c>
      <c r="R34" s="56" t="n">
        <f aca="false">R32+R33</f>
        <v>4970.09878063382</v>
      </c>
      <c r="S34" s="56" t="n">
        <f aca="false">S32+S33</f>
        <v>5067.32767539577</v>
      </c>
      <c r="T34" s="56" t="n">
        <f aca="false">T32+T33</f>
        <v>5166.47055078963</v>
      </c>
      <c r="U34" s="56" t="n">
        <f aca="false">U32+U33</f>
        <v>5267.56532307751</v>
      </c>
      <c r="V34" s="56" t="n">
        <f aca="false">V32+V33</f>
        <v>5370.65066442927</v>
      </c>
      <c r="W34" s="56" t="n">
        <f aca="false">W32+W33</f>
        <v>5475.76601808786</v>
      </c>
      <c r="X34" s="56" t="n">
        <f aca="false">X32+X33</f>
        <v>5582.95161384078</v>
      </c>
      <c r="Y34" s="56" t="n">
        <f aca="false">Y32+Y33</f>
        <v>5692.24848380398</v>
      </c>
      <c r="Z34" s="56" t="n">
        <f aca="false">Z32+Z33</f>
        <v>5803.69847852443</v>
      </c>
      <c r="AA34" s="56" t="n">
        <f aca="false">AA32+AA33</f>
        <v>5917.34428340785</v>
      </c>
    </row>
    <row r="35" customFormat="false" ht="15" hidden="false" customHeight="false" outlineLevel="0" collapsed="false">
      <c r="B35" s="19" t="s">
        <v>32</v>
      </c>
      <c r="C35" s="72" t="n">
        <f aca="false">Regions!C19-C34</f>
        <v>1702.29210613748</v>
      </c>
      <c r="D35" s="72" t="n">
        <f aca="false">Regions!D19-D34</f>
        <v>1735.53391361231</v>
      </c>
      <c r="E35" s="72" t="n">
        <f aca="false">Regions!E19-E34</f>
        <v>1769.42889873424</v>
      </c>
      <c r="F35" s="72" t="n">
        <f aca="false">Regions!F19-F34</f>
        <v>1803.98997711385</v>
      </c>
      <c r="G35" s="72" t="n">
        <f aca="false">Regions!G19-G34</f>
        <v>1839.23032137297</v>
      </c>
      <c r="H35" s="72" t="n">
        <f aca="false">Regions!H19-H34</f>
        <v>1875.16336629151</v>
      </c>
      <c r="I35" s="72" t="n">
        <f aca="false">Regions!I19-I34</f>
        <v>1911.80281405794</v>
      </c>
      <c r="J35" s="72" t="n">
        <f aca="false">Regions!J19-J34</f>
        <v>1949.16263962553</v>
      </c>
      <c r="K35" s="72" t="n">
        <f aca="false">Regions!K19-K34</f>
        <v>1987.2570961767</v>
      </c>
      <c r="L35" s="72" t="n">
        <f aca="false">Regions!L19-L34</f>
        <v>2026.10072069737</v>
      </c>
      <c r="M35" s="72" t="n">
        <f aca="false">Regions!M19-M34</f>
        <v>2065.70833966377</v>
      </c>
      <c r="N35" s="72" t="n">
        <f aca="false">Regions!N19-N34</f>
        <v>2106.09507484393</v>
      </c>
      <c r="O35" s="72" t="n">
        <f aca="false">Regions!O19-O34</f>
        <v>2147.2763492161</v>
      </c>
      <c r="P35" s="72" t="n">
        <f aca="false">Regions!P19-P34</f>
        <v>2189.26789300657</v>
      </c>
      <c r="Q35" s="72" t="n">
        <f aca="false">Regions!Q19-Q34</f>
        <v>2232.08574984928</v>
      </c>
      <c r="R35" s="72" t="n">
        <f aca="false">Regions!R19-R34</f>
        <v>2275.74628306968</v>
      </c>
      <c r="S35" s="72" t="n">
        <f aca="false">Regions!S19-S34</f>
        <v>2320.26618209537</v>
      </c>
      <c r="T35" s="72" t="n">
        <f aca="false">Regions!T19-T34</f>
        <v>2365.66246899605</v>
      </c>
      <c r="U35" s="72" t="n">
        <f aca="false">Regions!U19-U34</f>
        <v>2411.95250515557</v>
      </c>
      <c r="V35" s="72" t="n">
        <f aca="false">Regions!V19-V34</f>
        <v>2459.15399807848</v>
      </c>
      <c r="W35" s="72" t="n">
        <f aca="false">Regions!W19-W34</f>
        <v>2507.28500833409</v>
      </c>
      <c r="X35" s="72" t="n">
        <f aca="false">Regions!X19-X34</f>
        <v>2556.36395664067</v>
      </c>
      <c r="Y35" s="72" t="n">
        <f aca="false">Regions!Y19-Y34</f>
        <v>2606.40963109268</v>
      </c>
      <c r="Z35" s="72" t="n">
        <f aca="false">Regions!Z19-Z34</f>
        <v>2657.44119453392</v>
      </c>
      <c r="AA35" s="72" t="n">
        <f aca="false">Regions!AA19-AA34</f>
        <v>2709.47819207966</v>
      </c>
    </row>
    <row r="36" customFormat="false" ht="15" hidden="false" customHeight="false" outlineLevel="0" collapsed="false">
      <c r="B36" s="73" t="s">
        <v>33</v>
      </c>
      <c r="C36" s="58" t="n">
        <f aca="false">IF(Regions!C19=0,0,C35/Regions!C19)</f>
        <v>0.314076034342708</v>
      </c>
      <c r="D36" s="58" t="n">
        <f aca="false">IF(Regions!D19=0,0,D35/Regions!D19)</f>
        <v>0.314076034342708</v>
      </c>
      <c r="E36" s="58" t="n">
        <f aca="false">IF(Regions!E19=0,0,E35/Regions!E19)</f>
        <v>0.314076034342708</v>
      </c>
      <c r="F36" s="58" t="n">
        <f aca="false">IF(Regions!F19=0,0,F35/Regions!F19)</f>
        <v>0.314076034342708</v>
      </c>
      <c r="G36" s="58" t="n">
        <f aca="false">IF(Regions!G19=0,0,G35/Regions!G19)</f>
        <v>0.314076034342708</v>
      </c>
      <c r="H36" s="58" t="n">
        <f aca="false">IF(Regions!H19=0,0,H35/Regions!H19)</f>
        <v>0.314076034342708</v>
      </c>
      <c r="I36" s="58" t="n">
        <f aca="false">IF(Regions!I19=0,0,I35/Regions!I19)</f>
        <v>0.314076034342708</v>
      </c>
      <c r="J36" s="58" t="n">
        <f aca="false">IF(Regions!J19=0,0,J35/Regions!J19)</f>
        <v>0.314076034342708</v>
      </c>
      <c r="K36" s="58" t="n">
        <f aca="false">IF(Regions!K19=0,0,K35/Regions!K19)</f>
        <v>0.314076034342708</v>
      </c>
      <c r="L36" s="58" t="n">
        <f aca="false">IF(Regions!L19=0,0,L35/Regions!L19)</f>
        <v>0.314076034342708</v>
      </c>
      <c r="M36" s="58" t="n">
        <f aca="false">IF(Regions!M19=0,0,M35/Regions!M19)</f>
        <v>0.314076034342708</v>
      </c>
      <c r="N36" s="58" t="n">
        <f aca="false">IF(Regions!N19=0,0,N35/Regions!N19)</f>
        <v>0.314076034342708</v>
      </c>
      <c r="O36" s="58" t="n">
        <f aca="false">IF(Regions!O19=0,0,O35/Regions!O19)</f>
        <v>0.314076034342708</v>
      </c>
      <c r="P36" s="58" t="n">
        <f aca="false">IF(Regions!P19=0,0,P35/Regions!P19)</f>
        <v>0.314076034342708</v>
      </c>
      <c r="Q36" s="58" t="n">
        <f aca="false">IF(Regions!Q19=0,0,Q35/Regions!Q19)</f>
        <v>0.314076034342708</v>
      </c>
      <c r="R36" s="58" t="n">
        <f aca="false">IF(Regions!R19=0,0,R35/Regions!R19)</f>
        <v>0.314076034342708</v>
      </c>
      <c r="S36" s="58" t="n">
        <f aca="false">IF(Regions!S19=0,0,S35/Regions!S19)</f>
        <v>0.314076034342708</v>
      </c>
      <c r="T36" s="58" t="n">
        <f aca="false">IF(Regions!T19=0,0,T35/Regions!T19)</f>
        <v>0.314076034342708</v>
      </c>
      <c r="U36" s="58" t="n">
        <f aca="false">IF(Regions!U19=0,0,U35/Regions!U19)</f>
        <v>0.314076034342708</v>
      </c>
      <c r="V36" s="58" t="n">
        <f aca="false">IF(Regions!V19=0,0,V35/Regions!V19)</f>
        <v>0.314076034342708</v>
      </c>
      <c r="W36" s="58" t="n">
        <f aca="false">IF(Regions!W19=0,0,W35/Regions!W19)</f>
        <v>0.314076034342708</v>
      </c>
      <c r="X36" s="58" t="n">
        <f aca="false">IF(Regions!X19=0,0,X35/Regions!X19)</f>
        <v>0.314076034342708</v>
      </c>
      <c r="Y36" s="58" t="n">
        <f aca="false">IF(Regions!Y19=0,0,Y35/Regions!Y19)</f>
        <v>0.314076034342708</v>
      </c>
      <c r="Z36" s="58" t="n">
        <f aca="false">IF(Regions!Z19=0,0,Z35/Regions!Z19)</f>
        <v>0.314076034342708</v>
      </c>
      <c r="AA36" s="58" t="n">
        <f aca="false">IF(Regions!AA19=0,0,AA35/Regions!AA19)</f>
        <v>0.314076034342708</v>
      </c>
    </row>
    <row r="38" customFormat="false" ht="15" hidden="false" customHeight="false" outlineLevel="0" collapsed="false">
      <c r="B38" s="74" t="s">
        <v>161</v>
      </c>
    </row>
    <row r="39" customFormat="false" ht="15" hidden="false" customHeight="false" outlineLevel="0" collapsed="false">
      <c r="B39" s="75" t="str">
        <f aca="false">"Clinical labor: $"&amp;TEXT(C32,"#,##0")&amp;"K/mo  ·  Total clinical FTE: "&amp;TEXT(C31,"#,##0")&amp;"  ·  Blended gross margin: "&amp;TEXT(C36,"0.0%")</f>
        <v>Clinical labor: $2,726K/mo  ·  Total clinical FTE: 206  ·  Blended gross margin: 31.4%</v>
      </c>
      <c r="C39" s="75"/>
      <c r="D39" s="75"/>
      <c r="E39" s="75"/>
      <c r="F39" s="75"/>
      <c r="G39" s="75"/>
      <c r="H39" s="75"/>
    </row>
    <row r="40" customFormat="false" ht="30" hidden="false" customHeight="true" outlineLevel="0" collapsed="false">
      <c r="B40" s="8" t="s">
        <v>162</v>
      </c>
      <c r="C40" s="8"/>
      <c r="D40" s="8"/>
      <c r="E40" s="8"/>
      <c r="F40" s="8"/>
      <c r="G40" s="8"/>
      <c r="H40" s="8"/>
    </row>
  </sheetData>
  <mergeCells count="3">
    <mergeCell ref="B2:H2"/>
    <mergeCell ref="B39:H39"/>
    <mergeCell ref="B40:H4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Z5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5" topLeftCell="C16" activePane="bottomRight" state="frozen"/>
      <selection pane="topLeft" activeCell="A1" activeCellId="0" sqref="A1"/>
      <selection pane="topRight" activeCell="C1" activeCellId="0" sqref="C1"/>
      <selection pane="bottomLeft" activeCell="A16" activeCellId="0" sqref="A1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0"/>
    <col collapsed="false" customWidth="true" hidden="false" outlineLevel="0" max="4" min="3" style="1" width="7.61"/>
    <col collapsed="false" customWidth="true" hidden="false" outlineLevel="0" max="5" min="5" style="1" width="27"/>
    <col collapsed="false" customWidth="true" hidden="false" outlineLevel="0" max="6" min="6" style="1" width="2"/>
    <col collapsed="false" customWidth="true" hidden="false" outlineLevel="0" max="7" min="7" style="1" width="11"/>
    <col collapsed="false" customWidth="true" hidden="false" outlineLevel="0" max="26" min="8" style="1" width="7.61"/>
  </cols>
  <sheetData>
    <row r="2" customFormat="false" ht="17.35" hidden="false" customHeight="false" outlineLevel="0" collapsed="false">
      <c r="B2" s="9" t="s">
        <v>163</v>
      </c>
      <c r="C2" s="9"/>
      <c r="D2" s="9"/>
      <c r="E2" s="9"/>
      <c r="F2" s="9"/>
      <c r="G2" s="9"/>
      <c r="H2" s="9"/>
      <c r="I2" s="9"/>
      <c r="J2" s="9"/>
      <c r="K2" s="9"/>
      <c r="L2" s="9"/>
    </row>
    <row r="3" customFormat="false" ht="15" hidden="false" customHeight="false" outlineLevel="0" collapsed="false">
      <c r="B3" s="10" t="s">
        <v>164</v>
      </c>
    </row>
    <row r="5" customFormat="false" ht="15" hidden="false" customHeight="false" outlineLevel="0" collapsed="false">
      <c r="B5" s="52" t="s">
        <v>165</v>
      </c>
      <c r="C5" s="30"/>
      <c r="E5" s="52" t="s">
        <v>166</v>
      </c>
      <c r="F5" s="30"/>
      <c r="G5" s="30"/>
    </row>
    <row r="6" customFormat="false" ht="15" hidden="false" customHeight="false" outlineLevel="0" collapsed="false">
      <c r="B6" s="15" t="s">
        <v>167</v>
      </c>
      <c r="C6" s="16" t="n">
        <v>3500</v>
      </c>
      <c r="E6" s="15" t="s">
        <v>168</v>
      </c>
      <c r="G6" s="62" t="n">
        <v>0</v>
      </c>
    </row>
    <row r="7" customFormat="false" ht="15" hidden="false" customHeight="false" outlineLevel="0" collapsed="false">
      <c r="B7" s="15" t="s">
        <v>169</v>
      </c>
      <c r="C7" s="16" t="n">
        <v>1380</v>
      </c>
      <c r="E7" s="15" t="s">
        <v>170</v>
      </c>
      <c r="G7" s="16" t="n">
        <v>12000</v>
      </c>
    </row>
    <row r="8" customFormat="false" ht="15" hidden="false" customHeight="false" outlineLevel="0" collapsed="false">
      <c r="B8" s="15" t="s">
        <v>171</v>
      </c>
      <c r="C8" s="47" t="n">
        <v>0.015</v>
      </c>
      <c r="E8" s="15" t="s">
        <v>172</v>
      </c>
      <c r="G8" s="36" t="n">
        <v>9</v>
      </c>
    </row>
    <row r="9" customFormat="false" ht="15" hidden="false" customHeight="false" outlineLevel="0" collapsed="false">
      <c r="B9" s="15" t="s">
        <v>173</v>
      </c>
      <c r="C9" s="16" t="n">
        <v>150</v>
      </c>
      <c r="E9" s="15" t="s">
        <v>174</v>
      </c>
      <c r="G9" s="62" t="n">
        <v>0</v>
      </c>
    </row>
    <row r="10" customFormat="false" ht="15" hidden="false" customHeight="false" outlineLevel="0" collapsed="false">
      <c r="B10" s="15" t="s">
        <v>175</v>
      </c>
      <c r="C10" s="16" t="n">
        <v>90</v>
      </c>
      <c r="E10" s="15" t="s">
        <v>176</v>
      </c>
      <c r="G10" s="16" t="n">
        <v>5000</v>
      </c>
    </row>
    <row r="11" customFormat="false" ht="15" hidden="false" customHeight="false" outlineLevel="0" collapsed="false">
      <c r="B11" s="15" t="s">
        <v>177</v>
      </c>
      <c r="C11" s="16" t="n">
        <v>1500</v>
      </c>
      <c r="E11" s="15" t="s">
        <v>178</v>
      </c>
      <c r="G11" s="36" t="n">
        <v>6</v>
      </c>
    </row>
    <row r="12" customFormat="false" ht="15" hidden="false" customHeight="false" outlineLevel="0" collapsed="false">
      <c r="B12" s="15" t="s">
        <v>179</v>
      </c>
      <c r="C12" s="36" t="n">
        <v>6</v>
      </c>
      <c r="E12" s="15" t="s">
        <v>180</v>
      </c>
      <c r="G12" s="47" t="n">
        <v>0.12</v>
      </c>
    </row>
    <row r="15" customFormat="false" ht="15" hidden="false" customHeight="false" outlineLevel="0" collapsed="false">
      <c r="B15" s="12" t="s">
        <v>181</v>
      </c>
      <c r="C15" s="13" t="s">
        <v>90</v>
      </c>
      <c r="D15" s="13" t="s">
        <v>91</v>
      </c>
      <c r="E15" s="13" t="s">
        <v>92</v>
      </c>
      <c r="F15" s="13" t="s">
        <v>93</v>
      </c>
      <c r="G15" s="13" t="s">
        <v>94</v>
      </c>
      <c r="H15" s="13" t="s">
        <v>95</v>
      </c>
      <c r="I15" s="13" t="s">
        <v>96</v>
      </c>
      <c r="J15" s="13" t="s">
        <v>97</v>
      </c>
      <c r="K15" s="13" t="s">
        <v>98</v>
      </c>
      <c r="L15" s="13" t="s">
        <v>99</v>
      </c>
      <c r="M15" s="13" t="s">
        <v>100</v>
      </c>
      <c r="N15" s="13" t="s">
        <v>101</v>
      </c>
      <c r="O15" s="13" t="s">
        <v>102</v>
      </c>
      <c r="P15" s="13" t="s">
        <v>103</v>
      </c>
      <c r="Q15" s="13" t="s">
        <v>104</v>
      </c>
      <c r="R15" s="13" t="s">
        <v>105</v>
      </c>
      <c r="S15" s="13" t="s">
        <v>106</v>
      </c>
      <c r="T15" s="13" t="s">
        <v>107</v>
      </c>
      <c r="U15" s="13" t="s">
        <v>108</v>
      </c>
      <c r="V15" s="13" t="s">
        <v>109</v>
      </c>
      <c r="W15" s="13" t="s">
        <v>110</v>
      </c>
      <c r="X15" s="13" t="s">
        <v>111</v>
      </c>
      <c r="Y15" s="13" t="s">
        <v>112</v>
      </c>
      <c r="Z15" s="13" t="s">
        <v>113</v>
      </c>
    </row>
    <row r="16" customFormat="false" ht="15" hidden="false" customHeight="false" outlineLevel="0" collapsed="false">
      <c r="B16" s="15" t="s">
        <v>182</v>
      </c>
      <c r="C16" s="76" t="n">
        <f aca="false">Regions!D19</f>
        <v>5525.84</v>
      </c>
      <c r="D16" s="76" t="n">
        <f aca="false">Regions!E19</f>
        <v>5633.75968</v>
      </c>
      <c r="E16" s="76" t="n">
        <f aca="false">Regions!F19</f>
        <v>5743.80016256</v>
      </c>
      <c r="F16" s="76" t="n">
        <f aca="false">Regions!G19</f>
        <v>5856.00338854912</v>
      </c>
      <c r="G16" s="76" t="n">
        <f aca="false">Regions!H19</f>
        <v>5970.41213353263</v>
      </c>
      <c r="H16" s="76" t="n">
        <f aca="false">Regions!I19</f>
        <v>6087.0700244892</v>
      </c>
      <c r="I16" s="76" t="n">
        <f aca="false">Regions!J19</f>
        <v>6206.02155686505</v>
      </c>
      <c r="J16" s="76" t="n">
        <f aca="false">Regions!K19</f>
        <v>6327.31211197185</v>
      </c>
      <c r="K16" s="76" t="n">
        <f aca="false">Regions!L19</f>
        <v>6450.98797473533</v>
      </c>
      <c r="L16" s="76" t="n">
        <f aca="false">Regions!M19</f>
        <v>6577.09635180171</v>
      </c>
      <c r="M16" s="76" t="n">
        <f aca="false">Regions!N19</f>
        <v>6705.68539000923</v>
      </c>
      <c r="N16" s="76" t="n">
        <f aca="false">Regions!O19</f>
        <v>6836.80419523215</v>
      </c>
      <c r="O16" s="76" t="n">
        <f aca="false">Regions!P19</f>
        <v>6970.50285160479</v>
      </c>
      <c r="P16" s="76" t="n">
        <f aca="false">Regions!Q19</f>
        <v>7106.83244113339</v>
      </c>
      <c r="Q16" s="76" t="n">
        <f aca="false">Regions!R19</f>
        <v>7245.84506370351</v>
      </c>
      <c r="R16" s="76" t="n">
        <f aca="false">Regions!S19</f>
        <v>7387.59385749114</v>
      </c>
      <c r="S16" s="76" t="n">
        <f aca="false">Regions!T19</f>
        <v>7532.13301978568</v>
      </c>
      <c r="T16" s="76" t="n">
        <f aca="false">Regions!U19</f>
        <v>7679.51782823308</v>
      </c>
      <c r="U16" s="76" t="n">
        <f aca="false">Regions!V19</f>
        <v>7829.80466250775</v>
      </c>
      <c r="V16" s="76" t="n">
        <f aca="false">Regions!W19</f>
        <v>7983.05102642195</v>
      </c>
      <c r="W16" s="76" t="n">
        <f aca="false">Regions!X19</f>
        <v>8139.31557048145</v>
      </c>
      <c r="X16" s="76" t="n">
        <f aca="false">Regions!Y19</f>
        <v>8298.65811489666</v>
      </c>
      <c r="Y16" s="76" t="n">
        <f aca="false">Regions!Z19</f>
        <v>8461.13967305835</v>
      </c>
      <c r="Z16" s="76" t="n">
        <f aca="false">Regions!AA19</f>
        <v>8626.82247548752</v>
      </c>
    </row>
    <row r="17" customFormat="false" ht="15" hidden="false" customHeight="false" outlineLevel="0" collapsed="false">
      <c r="B17" s="15" t="s">
        <v>32</v>
      </c>
      <c r="C17" s="76" t="n">
        <f aca="false">'Labor Model'!D35</f>
        <v>1735.53391361231</v>
      </c>
      <c r="D17" s="76" t="n">
        <f aca="false">'Labor Model'!E35</f>
        <v>1769.42889873424</v>
      </c>
      <c r="E17" s="76" t="n">
        <f aca="false">'Labor Model'!F35</f>
        <v>1803.98997711385</v>
      </c>
      <c r="F17" s="76" t="n">
        <f aca="false">'Labor Model'!G35</f>
        <v>1839.23032137297</v>
      </c>
      <c r="G17" s="76" t="n">
        <f aca="false">'Labor Model'!H35</f>
        <v>1875.16336629151</v>
      </c>
      <c r="H17" s="76" t="n">
        <f aca="false">'Labor Model'!I35</f>
        <v>1911.80281405794</v>
      </c>
      <c r="I17" s="76" t="n">
        <f aca="false">'Labor Model'!J35</f>
        <v>1949.16263962553</v>
      </c>
      <c r="J17" s="76" t="n">
        <f aca="false">'Labor Model'!K35</f>
        <v>1987.2570961767</v>
      </c>
      <c r="K17" s="76" t="n">
        <f aca="false">'Labor Model'!L35</f>
        <v>2026.10072069737</v>
      </c>
      <c r="L17" s="76" t="n">
        <f aca="false">'Labor Model'!M35</f>
        <v>2065.70833966377</v>
      </c>
      <c r="M17" s="76" t="n">
        <f aca="false">'Labor Model'!N35</f>
        <v>2106.09507484393</v>
      </c>
      <c r="N17" s="76" t="n">
        <f aca="false">'Labor Model'!O35</f>
        <v>2147.2763492161</v>
      </c>
      <c r="O17" s="76" t="n">
        <f aca="false">'Labor Model'!P35</f>
        <v>2189.26789300657</v>
      </c>
      <c r="P17" s="76" t="n">
        <f aca="false">'Labor Model'!Q35</f>
        <v>2232.08574984928</v>
      </c>
      <c r="Q17" s="76" t="n">
        <f aca="false">'Labor Model'!R35</f>
        <v>2275.74628306968</v>
      </c>
      <c r="R17" s="76" t="n">
        <f aca="false">'Labor Model'!S35</f>
        <v>2320.26618209537</v>
      </c>
      <c r="S17" s="76" t="n">
        <f aca="false">'Labor Model'!T35</f>
        <v>2365.66246899605</v>
      </c>
      <c r="T17" s="76" t="n">
        <f aca="false">'Labor Model'!U35</f>
        <v>2411.95250515557</v>
      </c>
      <c r="U17" s="76" t="n">
        <f aca="false">'Labor Model'!V35</f>
        <v>2459.15399807848</v>
      </c>
      <c r="V17" s="76" t="n">
        <f aca="false">'Labor Model'!W35</f>
        <v>2507.28500833409</v>
      </c>
      <c r="W17" s="76" t="n">
        <f aca="false">'Labor Model'!X35</f>
        <v>2556.36395664067</v>
      </c>
      <c r="X17" s="76" t="n">
        <f aca="false">'Labor Model'!Y35</f>
        <v>2606.40963109268</v>
      </c>
      <c r="Y17" s="76" t="n">
        <f aca="false">'Labor Model'!Z35</f>
        <v>2657.44119453392</v>
      </c>
      <c r="Z17" s="76" t="n">
        <f aca="false">'Labor Model'!AA35</f>
        <v>2709.47819207966</v>
      </c>
    </row>
    <row r="18" customFormat="false" ht="15" hidden="false" customHeight="false" outlineLevel="0" collapsed="false">
      <c r="B18" s="15" t="s">
        <v>183</v>
      </c>
      <c r="C18" s="55" t="n">
        <f aca="false">$C$7*(1+$C$8)^1</f>
        <v>1400.7</v>
      </c>
      <c r="D18" s="55" t="n">
        <f aca="false">$C$7*(1+$C$8)^2</f>
        <v>1421.7105</v>
      </c>
      <c r="E18" s="55" t="n">
        <f aca="false">$C$7*(1+$C$8)^3</f>
        <v>1443.0361575</v>
      </c>
      <c r="F18" s="55" t="n">
        <f aca="false">$C$7*(1+$C$8)^4</f>
        <v>1464.6816998625</v>
      </c>
      <c r="G18" s="55" t="n">
        <f aca="false">$C$7*(1+$C$8)^5</f>
        <v>1486.65192536044</v>
      </c>
      <c r="H18" s="55" t="n">
        <f aca="false">$C$7*(1+$C$8)^6</f>
        <v>1508.95170424084</v>
      </c>
      <c r="I18" s="55" t="n">
        <f aca="false">$C$7*(1+$C$8)^7</f>
        <v>1531.58597980446</v>
      </c>
      <c r="J18" s="55" t="n">
        <f aca="false">$C$7*(1+$C$8)^8</f>
        <v>1554.55976950152</v>
      </c>
      <c r="K18" s="55" t="n">
        <f aca="false">$C$7*(1+$C$8)^9</f>
        <v>1577.87816604405</v>
      </c>
      <c r="L18" s="55" t="n">
        <f aca="false">$C$7*(1+$C$8)^10</f>
        <v>1601.54633853471</v>
      </c>
      <c r="M18" s="55" t="n">
        <f aca="false">$C$7*(1+$C$8)^11</f>
        <v>1625.56953361273</v>
      </c>
      <c r="N18" s="55" t="n">
        <f aca="false">$C$7*(1+$C$8)^12</f>
        <v>1649.95307661692</v>
      </c>
      <c r="O18" s="55" t="n">
        <f aca="false">$C$7*(1+$C$8)^13</f>
        <v>1674.70237276617</v>
      </c>
      <c r="P18" s="55" t="n">
        <f aca="false">$C$7*(1+$C$8)^14</f>
        <v>1699.82290835766</v>
      </c>
      <c r="Q18" s="55" t="n">
        <f aca="false">$C$7*(1+$C$8)^15</f>
        <v>1725.32025198303</v>
      </c>
      <c r="R18" s="55" t="n">
        <f aca="false">$C$7*(1+$C$8)^16</f>
        <v>1751.20005576277</v>
      </c>
      <c r="S18" s="55" t="n">
        <f aca="false">$C$7*(1+$C$8)^17</f>
        <v>1777.46805659921</v>
      </c>
      <c r="T18" s="55" t="n">
        <f aca="false">$C$7*(1+$C$8)^18</f>
        <v>1804.1300774482</v>
      </c>
      <c r="U18" s="55" t="n">
        <f aca="false">$C$7*(1+$C$8)^19</f>
        <v>1831.19202860993</v>
      </c>
      <c r="V18" s="55" t="n">
        <f aca="false">$C$7*(1+$C$8)^20</f>
        <v>1858.65990903907</v>
      </c>
      <c r="W18" s="55" t="n">
        <f aca="false">$C$7*(1+$C$8)^21</f>
        <v>1886.53980767466</v>
      </c>
      <c r="X18" s="55" t="n">
        <f aca="false">$C$7*(1+$C$8)^22</f>
        <v>1914.83790478978</v>
      </c>
      <c r="Y18" s="55" t="n">
        <f aca="false">$C$7*(1+$C$8)^23</f>
        <v>1943.56047336163</v>
      </c>
      <c r="Z18" s="55" t="n">
        <f aca="false">$C$7*(1+$C$8)^24</f>
        <v>1972.71388046205</v>
      </c>
    </row>
    <row r="19" customFormat="false" ht="15" hidden="false" customHeight="false" outlineLevel="0" collapsed="false">
      <c r="B19" s="15" t="s">
        <v>116</v>
      </c>
      <c r="C19" s="76" t="n">
        <f aca="false">Regions!D23</f>
        <v>0</v>
      </c>
      <c r="D19" s="76" t="n">
        <f aca="false">Regions!E23</f>
        <v>0</v>
      </c>
      <c r="E19" s="76" t="n">
        <f aca="false">Regions!F23</f>
        <v>0</v>
      </c>
      <c r="F19" s="76" t="n">
        <f aca="false">Regions!G23</f>
        <v>0</v>
      </c>
      <c r="G19" s="76" t="n">
        <f aca="false">Regions!H23</f>
        <v>0</v>
      </c>
      <c r="H19" s="76" t="n">
        <f aca="false">Regions!I23</f>
        <v>0</v>
      </c>
      <c r="I19" s="76" t="n">
        <f aca="false">Regions!J23</f>
        <v>0</v>
      </c>
      <c r="J19" s="76" t="n">
        <f aca="false">Regions!K23</f>
        <v>0</v>
      </c>
      <c r="K19" s="76" t="n">
        <f aca="false">Regions!L23</f>
        <v>0</v>
      </c>
      <c r="L19" s="76" t="n">
        <f aca="false">Regions!M23</f>
        <v>0</v>
      </c>
      <c r="M19" s="76" t="n">
        <f aca="false">Regions!N23</f>
        <v>0</v>
      </c>
      <c r="N19" s="76" t="n">
        <f aca="false">Regions!O23</f>
        <v>0</v>
      </c>
      <c r="O19" s="76" t="n">
        <f aca="false">Regions!P23</f>
        <v>0</v>
      </c>
      <c r="P19" s="76" t="n">
        <f aca="false">Regions!Q23</f>
        <v>0</v>
      </c>
      <c r="Q19" s="76" t="n">
        <f aca="false">Regions!R23</f>
        <v>0</v>
      </c>
      <c r="R19" s="76" t="n">
        <f aca="false">Regions!S23</f>
        <v>0</v>
      </c>
      <c r="S19" s="76" t="n">
        <f aca="false">Regions!T23</f>
        <v>0</v>
      </c>
      <c r="T19" s="76" t="n">
        <f aca="false">Regions!U23</f>
        <v>0</v>
      </c>
      <c r="U19" s="76" t="n">
        <f aca="false">Regions!V23</f>
        <v>0</v>
      </c>
      <c r="V19" s="76" t="n">
        <f aca="false">Regions!W23</f>
        <v>0</v>
      </c>
      <c r="W19" s="76" t="n">
        <f aca="false">Regions!X23</f>
        <v>0</v>
      </c>
      <c r="X19" s="76" t="n">
        <f aca="false">Regions!Y23</f>
        <v>0</v>
      </c>
      <c r="Y19" s="76" t="n">
        <f aca="false">Regions!Z23</f>
        <v>0</v>
      </c>
      <c r="Z19" s="76" t="n">
        <f aca="false">Regions!AA23</f>
        <v>0</v>
      </c>
    </row>
    <row r="20" customFormat="false" ht="15" hidden="false" customHeight="false" outlineLevel="0" collapsed="false">
      <c r="B20" s="15" t="s">
        <v>184</v>
      </c>
      <c r="C20" s="55" t="n">
        <f aca="false">C18+C19</f>
        <v>1400.7</v>
      </c>
      <c r="D20" s="55" t="n">
        <f aca="false">D18+D19</f>
        <v>1421.7105</v>
      </c>
      <c r="E20" s="55" t="n">
        <f aca="false">E18+E19</f>
        <v>1443.0361575</v>
      </c>
      <c r="F20" s="55" t="n">
        <f aca="false">F18+F19</f>
        <v>1464.6816998625</v>
      </c>
      <c r="G20" s="55" t="n">
        <f aca="false">G18+G19</f>
        <v>1486.65192536044</v>
      </c>
      <c r="H20" s="55" t="n">
        <f aca="false">H18+H19</f>
        <v>1508.95170424084</v>
      </c>
      <c r="I20" s="55" t="n">
        <f aca="false">I18+I19</f>
        <v>1531.58597980446</v>
      </c>
      <c r="J20" s="55" t="n">
        <f aca="false">J18+J19</f>
        <v>1554.55976950152</v>
      </c>
      <c r="K20" s="55" t="n">
        <f aca="false">K18+K19</f>
        <v>1577.87816604405</v>
      </c>
      <c r="L20" s="55" t="n">
        <f aca="false">L18+L19</f>
        <v>1601.54633853471</v>
      </c>
      <c r="M20" s="55" t="n">
        <f aca="false">M18+M19</f>
        <v>1625.56953361273</v>
      </c>
      <c r="N20" s="55" t="n">
        <f aca="false">N18+N19</f>
        <v>1649.95307661692</v>
      </c>
      <c r="O20" s="55" t="n">
        <f aca="false">O18+O19</f>
        <v>1674.70237276617</v>
      </c>
      <c r="P20" s="55" t="n">
        <f aca="false">P18+P19</f>
        <v>1699.82290835766</v>
      </c>
      <c r="Q20" s="55" t="n">
        <f aca="false">Q18+Q19</f>
        <v>1725.32025198303</v>
      </c>
      <c r="R20" s="55" t="n">
        <f aca="false">R18+R19</f>
        <v>1751.20005576277</v>
      </c>
      <c r="S20" s="55" t="n">
        <f aca="false">S18+S19</f>
        <v>1777.46805659921</v>
      </c>
      <c r="T20" s="55" t="n">
        <f aca="false">T18+T19</f>
        <v>1804.1300774482</v>
      </c>
      <c r="U20" s="55" t="n">
        <f aca="false">U18+U19</f>
        <v>1831.19202860993</v>
      </c>
      <c r="V20" s="55" t="n">
        <f aca="false">V18+V19</f>
        <v>1858.65990903907</v>
      </c>
      <c r="W20" s="55" t="n">
        <f aca="false">W18+W19</f>
        <v>1886.53980767466</v>
      </c>
      <c r="X20" s="55" t="n">
        <f aca="false">X18+X19</f>
        <v>1914.83790478978</v>
      </c>
      <c r="Y20" s="55" t="n">
        <f aca="false">Y18+Y19</f>
        <v>1943.56047336163</v>
      </c>
      <c r="Z20" s="55" t="n">
        <f aca="false">Z18+Z19</f>
        <v>1972.71388046205</v>
      </c>
    </row>
    <row r="21" customFormat="false" ht="15" hidden="false" customHeight="false" outlineLevel="0" collapsed="false">
      <c r="B21" s="19" t="s">
        <v>39</v>
      </c>
      <c r="C21" s="56" t="n">
        <f aca="false">C17-C20</f>
        <v>334.83391361231</v>
      </c>
      <c r="D21" s="56" t="n">
        <f aca="false">D17-D20</f>
        <v>347.718398734244</v>
      </c>
      <c r="E21" s="56" t="n">
        <f aca="false">E17-E20</f>
        <v>360.953819613848</v>
      </c>
      <c r="F21" s="56" t="n">
        <f aca="false">F17-F20</f>
        <v>374.548621510469</v>
      </c>
      <c r="G21" s="56" t="n">
        <f aca="false">G17-G20</f>
        <v>388.511440931078</v>
      </c>
      <c r="H21" s="56" t="n">
        <f aca="false">H17-H20</f>
        <v>402.851109817096</v>
      </c>
      <c r="I21" s="56" t="n">
        <f aca="false">I17-I20</f>
        <v>417.576659821078</v>
      </c>
      <c r="J21" s="56" t="n">
        <f aca="false">J17-J20</f>
        <v>432.697326675181</v>
      </c>
      <c r="K21" s="56" t="n">
        <f aca="false">K17-K20</f>
        <v>448.222554653325</v>
      </c>
      <c r="L21" s="56" t="n">
        <f aca="false">L17-L20</f>
        <v>464.162001129069</v>
      </c>
      <c r="M21" s="56" t="n">
        <f aca="false">M17-M20</f>
        <v>480.525541231209</v>
      </c>
      <c r="N21" s="56" t="n">
        <f aca="false">N17-N20</f>
        <v>497.323272599185</v>
      </c>
      <c r="O21" s="56" t="n">
        <f aca="false">O17-O20</f>
        <v>514.5655202404</v>
      </c>
      <c r="P21" s="56" t="n">
        <f aca="false">P17-P20</f>
        <v>532.26284149162</v>
      </c>
      <c r="Q21" s="56" t="n">
        <f aca="false">Q17-Q20</f>
        <v>550.426031086656</v>
      </c>
      <c r="R21" s="56" t="n">
        <f aca="false">R17-R20</f>
        <v>569.066126332594</v>
      </c>
      <c r="S21" s="56" t="n">
        <f aca="false">S17-S20</f>
        <v>588.194412396839</v>
      </c>
      <c r="T21" s="56" t="n">
        <f aca="false">T17-T20</f>
        <v>607.822427707368</v>
      </c>
      <c r="U21" s="56" t="n">
        <f aca="false">U17-U20</f>
        <v>627.961969468555</v>
      </c>
      <c r="V21" s="56" t="n">
        <f aca="false">V17-V20</f>
        <v>648.625099295017</v>
      </c>
      <c r="W21" s="56" t="n">
        <f aca="false">W17-W20</f>
        <v>669.824148966009</v>
      </c>
      <c r="X21" s="56" t="n">
        <f aca="false">X17-X20</f>
        <v>691.571726302896</v>
      </c>
      <c r="Y21" s="56" t="n">
        <f aca="false">Y17-Y20</f>
        <v>713.880721172299</v>
      </c>
      <c r="Z21" s="56" t="n">
        <f aca="false">Z17-Z20</f>
        <v>736.764311617613</v>
      </c>
    </row>
    <row r="22" customFormat="false" ht="15" hidden="false" customHeight="false" outlineLevel="0" collapsed="false">
      <c r="B22" s="15" t="s">
        <v>185</v>
      </c>
      <c r="C22" s="55" t="n">
        <f aca="false">$C$9</f>
        <v>150</v>
      </c>
      <c r="D22" s="55" t="n">
        <f aca="false">$C$9</f>
        <v>150</v>
      </c>
      <c r="E22" s="55" t="n">
        <f aca="false">$C$9</f>
        <v>150</v>
      </c>
      <c r="F22" s="55" t="n">
        <f aca="false">$C$9</f>
        <v>150</v>
      </c>
      <c r="G22" s="55" t="n">
        <f aca="false">$C$9</f>
        <v>150</v>
      </c>
      <c r="H22" s="55" t="n">
        <f aca="false">$C$9</f>
        <v>150</v>
      </c>
      <c r="I22" s="55" t="n">
        <f aca="false">$C$9</f>
        <v>150</v>
      </c>
      <c r="J22" s="55" t="n">
        <f aca="false">$C$9</f>
        <v>150</v>
      </c>
      <c r="K22" s="55" t="n">
        <f aca="false">$C$9</f>
        <v>150</v>
      </c>
      <c r="L22" s="55" t="n">
        <f aca="false">$C$9</f>
        <v>150</v>
      </c>
      <c r="M22" s="55" t="n">
        <f aca="false">$C$9</f>
        <v>150</v>
      </c>
      <c r="N22" s="55" t="n">
        <f aca="false">$C$9</f>
        <v>150</v>
      </c>
      <c r="O22" s="55" t="n">
        <f aca="false">$C$9</f>
        <v>150</v>
      </c>
      <c r="P22" s="55" t="n">
        <f aca="false">$C$9</f>
        <v>150</v>
      </c>
      <c r="Q22" s="55" t="n">
        <f aca="false">$C$9</f>
        <v>150</v>
      </c>
      <c r="R22" s="55" t="n">
        <f aca="false">$C$9</f>
        <v>150</v>
      </c>
      <c r="S22" s="55" t="n">
        <f aca="false">$C$9</f>
        <v>150</v>
      </c>
      <c r="T22" s="55" t="n">
        <f aca="false">$C$9</f>
        <v>150</v>
      </c>
      <c r="U22" s="55" t="n">
        <f aca="false">$C$9</f>
        <v>150</v>
      </c>
      <c r="V22" s="55" t="n">
        <f aca="false">$C$9</f>
        <v>150</v>
      </c>
      <c r="W22" s="55" t="n">
        <f aca="false">$C$9</f>
        <v>150</v>
      </c>
      <c r="X22" s="55" t="n">
        <f aca="false">$C$9</f>
        <v>150</v>
      </c>
      <c r="Y22" s="55" t="n">
        <f aca="false">$C$9</f>
        <v>150</v>
      </c>
      <c r="Z22" s="55" t="n">
        <f aca="false">$C$9</f>
        <v>150</v>
      </c>
    </row>
    <row r="23" customFormat="false" ht="15" hidden="false" customHeight="false" outlineLevel="0" collapsed="false">
      <c r="B23" s="15" t="s">
        <v>115</v>
      </c>
      <c r="C23" s="76" t="n">
        <f aca="false">Regions!D22</f>
        <v>0</v>
      </c>
      <c r="D23" s="76" t="n">
        <f aca="false">Regions!E22</f>
        <v>0</v>
      </c>
      <c r="E23" s="76" t="n">
        <f aca="false">Regions!F22</f>
        <v>0</v>
      </c>
      <c r="F23" s="76" t="n">
        <f aca="false">Regions!G22</f>
        <v>0</v>
      </c>
      <c r="G23" s="76" t="n">
        <f aca="false">Regions!H22</f>
        <v>0</v>
      </c>
      <c r="H23" s="76" t="n">
        <f aca="false">Regions!I22</f>
        <v>0</v>
      </c>
      <c r="I23" s="76" t="n">
        <f aca="false">Regions!J22</f>
        <v>0</v>
      </c>
      <c r="J23" s="76" t="n">
        <f aca="false">Regions!K22</f>
        <v>0</v>
      </c>
      <c r="K23" s="76" t="n">
        <f aca="false">Regions!L22</f>
        <v>0</v>
      </c>
      <c r="L23" s="76" t="n">
        <f aca="false">Regions!M22</f>
        <v>0</v>
      </c>
      <c r="M23" s="76" t="n">
        <f aca="false">Regions!N22</f>
        <v>0</v>
      </c>
      <c r="N23" s="76" t="n">
        <f aca="false">Regions!O22</f>
        <v>0</v>
      </c>
      <c r="O23" s="76" t="n">
        <f aca="false">Regions!P22</f>
        <v>0</v>
      </c>
      <c r="P23" s="76" t="n">
        <f aca="false">Regions!Q22</f>
        <v>0</v>
      </c>
      <c r="Q23" s="76" t="n">
        <f aca="false">Regions!R22</f>
        <v>0</v>
      </c>
      <c r="R23" s="76" t="n">
        <f aca="false">Regions!S22</f>
        <v>0</v>
      </c>
      <c r="S23" s="76" t="n">
        <f aca="false">Regions!T22</f>
        <v>0</v>
      </c>
      <c r="T23" s="76" t="n">
        <f aca="false">Regions!U22</f>
        <v>0</v>
      </c>
      <c r="U23" s="76" t="n">
        <f aca="false">Regions!V22</f>
        <v>0</v>
      </c>
      <c r="V23" s="76" t="n">
        <f aca="false">Regions!W22</f>
        <v>0</v>
      </c>
      <c r="W23" s="76" t="n">
        <f aca="false">Regions!X22</f>
        <v>0</v>
      </c>
      <c r="X23" s="76" t="n">
        <f aca="false">Regions!Y22</f>
        <v>0</v>
      </c>
      <c r="Y23" s="76" t="n">
        <f aca="false">Regions!Z22</f>
        <v>0</v>
      </c>
      <c r="Z23" s="76" t="n">
        <f aca="false">Regions!AA22</f>
        <v>0</v>
      </c>
    </row>
    <row r="24" customFormat="false" ht="15" hidden="false" customHeight="false" outlineLevel="0" collapsed="false">
      <c r="B24" s="15" t="s">
        <v>186</v>
      </c>
      <c r="C24" s="55" t="n">
        <f aca="false">$C$10</f>
        <v>90</v>
      </c>
      <c r="D24" s="55" t="n">
        <f aca="false">$C$10</f>
        <v>90</v>
      </c>
      <c r="E24" s="55" t="n">
        <f aca="false">$C$10</f>
        <v>90</v>
      </c>
      <c r="F24" s="55" t="n">
        <f aca="false">$C$10</f>
        <v>90</v>
      </c>
      <c r="G24" s="55" t="n">
        <f aca="false">$C$10</f>
        <v>90</v>
      </c>
      <c r="H24" s="55" t="n">
        <f aca="false">$C$10</f>
        <v>90</v>
      </c>
      <c r="I24" s="55" t="n">
        <f aca="false">$C$10</f>
        <v>90</v>
      </c>
      <c r="J24" s="55" t="n">
        <f aca="false">$C$10</f>
        <v>90</v>
      </c>
      <c r="K24" s="55" t="n">
        <f aca="false">$C$10</f>
        <v>90</v>
      </c>
      <c r="L24" s="55" t="n">
        <f aca="false">$C$10</f>
        <v>90</v>
      </c>
      <c r="M24" s="55" t="n">
        <f aca="false">$C$10</f>
        <v>90</v>
      </c>
      <c r="N24" s="55" t="n">
        <f aca="false">$C$10</f>
        <v>90</v>
      </c>
      <c r="O24" s="55" t="n">
        <f aca="false">$C$10</f>
        <v>90</v>
      </c>
      <c r="P24" s="55" t="n">
        <f aca="false">$C$10</f>
        <v>90</v>
      </c>
      <c r="Q24" s="55" t="n">
        <f aca="false">$C$10</f>
        <v>90</v>
      </c>
      <c r="R24" s="55" t="n">
        <f aca="false">$C$10</f>
        <v>90</v>
      </c>
      <c r="S24" s="55" t="n">
        <f aca="false">$C$10</f>
        <v>90</v>
      </c>
      <c r="T24" s="55" t="n">
        <f aca="false">$C$10</f>
        <v>90</v>
      </c>
      <c r="U24" s="55" t="n">
        <f aca="false">$C$10</f>
        <v>90</v>
      </c>
      <c r="V24" s="55" t="n">
        <f aca="false">$C$10</f>
        <v>90</v>
      </c>
      <c r="W24" s="55" t="n">
        <f aca="false">$C$10</f>
        <v>90</v>
      </c>
      <c r="X24" s="55" t="n">
        <f aca="false">$C$10</f>
        <v>90</v>
      </c>
      <c r="Y24" s="55" t="n">
        <f aca="false">$C$10</f>
        <v>90</v>
      </c>
      <c r="Z24" s="55" t="n">
        <f aca="false">$C$10</f>
        <v>90</v>
      </c>
    </row>
    <row r="25" customFormat="false" ht="15" hidden="false" customHeight="false" outlineLevel="0" collapsed="false">
      <c r="B25" s="15" t="s">
        <v>187</v>
      </c>
      <c r="C25" s="55" t="n">
        <f aca="false">IF(AND($G$9=1,1&gt;=$G$11),$G$10*$G$12/12,0)</f>
        <v>0</v>
      </c>
      <c r="D25" s="55" t="n">
        <f aca="false">IF(AND($G$9=1,2&gt;=$G$11),$G$10*$G$12/12,0)</f>
        <v>0</v>
      </c>
      <c r="E25" s="55" t="n">
        <f aca="false">IF(AND($G$9=1,3&gt;=$G$11),$G$10*$G$12/12,0)</f>
        <v>0</v>
      </c>
      <c r="F25" s="55" t="n">
        <f aca="false">IF(AND($G$9=1,4&gt;=$G$11),$G$10*$G$12/12,0)</f>
        <v>0</v>
      </c>
      <c r="G25" s="55" t="n">
        <f aca="false">IF(AND($G$9=1,5&gt;=$G$11),$G$10*$G$12/12,0)</f>
        <v>0</v>
      </c>
      <c r="H25" s="55" t="n">
        <f aca="false">IF(AND($G$9=1,6&gt;=$G$11),$G$10*$G$12/12,0)</f>
        <v>0</v>
      </c>
      <c r="I25" s="55" t="n">
        <f aca="false">IF(AND($G$9=1,7&gt;=$G$11),$G$10*$G$12/12,0)</f>
        <v>0</v>
      </c>
      <c r="J25" s="55" t="n">
        <f aca="false">IF(AND($G$9=1,8&gt;=$G$11),$G$10*$G$12/12,0)</f>
        <v>0</v>
      </c>
      <c r="K25" s="55" t="n">
        <f aca="false">IF(AND($G$9=1,9&gt;=$G$11),$G$10*$G$12/12,0)</f>
        <v>0</v>
      </c>
      <c r="L25" s="55" t="n">
        <f aca="false">IF(AND($G$9=1,10&gt;=$G$11),$G$10*$G$12/12,0)</f>
        <v>0</v>
      </c>
      <c r="M25" s="55" t="n">
        <f aca="false">IF(AND($G$9=1,11&gt;=$G$11),$G$10*$G$12/12,0)</f>
        <v>0</v>
      </c>
      <c r="N25" s="55" t="n">
        <f aca="false">IF(AND($G$9=1,12&gt;=$G$11),$G$10*$G$12/12,0)</f>
        <v>0</v>
      </c>
      <c r="O25" s="55" t="n">
        <f aca="false">IF(AND($G$9=1,13&gt;=$G$11),$G$10*$G$12/12,0)</f>
        <v>0</v>
      </c>
      <c r="P25" s="55" t="n">
        <f aca="false">IF(AND($G$9=1,14&gt;=$G$11),$G$10*$G$12/12,0)</f>
        <v>0</v>
      </c>
      <c r="Q25" s="55" t="n">
        <f aca="false">IF(AND($G$9=1,15&gt;=$G$11),$G$10*$G$12/12,0)</f>
        <v>0</v>
      </c>
      <c r="R25" s="55" t="n">
        <f aca="false">IF(AND($G$9=1,16&gt;=$G$11),$G$10*$G$12/12,0)</f>
        <v>0</v>
      </c>
      <c r="S25" s="55" t="n">
        <f aca="false">IF(AND($G$9=1,17&gt;=$G$11),$G$10*$G$12/12,0)</f>
        <v>0</v>
      </c>
      <c r="T25" s="55" t="n">
        <f aca="false">IF(AND($G$9=1,18&gt;=$G$11),$G$10*$G$12/12,0)</f>
        <v>0</v>
      </c>
      <c r="U25" s="55" t="n">
        <f aca="false">IF(AND($G$9=1,19&gt;=$G$11),$G$10*$G$12/12,0)</f>
        <v>0</v>
      </c>
      <c r="V25" s="55" t="n">
        <f aca="false">IF(AND($G$9=1,20&gt;=$G$11),$G$10*$G$12/12,0)</f>
        <v>0</v>
      </c>
      <c r="W25" s="55" t="n">
        <f aca="false">IF(AND($G$9=1,21&gt;=$G$11),$G$10*$G$12/12,0)</f>
        <v>0</v>
      </c>
      <c r="X25" s="55" t="n">
        <f aca="false">IF(AND($G$9=1,22&gt;=$G$11),$G$10*$G$12/12,0)</f>
        <v>0</v>
      </c>
      <c r="Y25" s="55" t="n">
        <f aca="false">IF(AND($G$9=1,23&gt;=$G$11),$G$10*$G$12/12,0)</f>
        <v>0</v>
      </c>
      <c r="Z25" s="55" t="n">
        <f aca="false">IF(AND($G$9=1,24&gt;=$G$11),$G$10*$G$12/12,0)</f>
        <v>0</v>
      </c>
    </row>
    <row r="26" customFormat="false" ht="15" hidden="false" customHeight="false" outlineLevel="0" collapsed="false">
      <c r="B26" s="19" t="s">
        <v>188</v>
      </c>
      <c r="C26" s="57" t="n">
        <f aca="false">C21-C22-C23-C24</f>
        <v>94.8339136123104</v>
      </c>
      <c r="D26" s="57" t="n">
        <f aca="false">D21-D22-D23-D24</f>
        <v>107.718398734244</v>
      </c>
      <c r="E26" s="57" t="n">
        <f aca="false">E21-E22-E23-E24</f>
        <v>120.953819613848</v>
      </c>
      <c r="F26" s="57" t="n">
        <f aca="false">F21-F22-F23-F24</f>
        <v>134.548621510469</v>
      </c>
      <c r="G26" s="57" t="n">
        <f aca="false">G21-G22-G23-G24</f>
        <v>148.511440931078</v>
      </c>
      <c r="H26" s="57" t="n">
        <f aca="false">H21-H22-H23-H24</f>
        <v>162.851109817096</v>
      </c>
      <c r="I26" s="57" t="n">
        <f aca="false">I21-I22-I23-I24</f>
        <v>177.576659821078</v>
      </c>
      <c r="J26" s="57" t="n">
        <f aca="false">J21-J22-J23-J24</f>
        <v>192.697326675181</v>
      </c>
      <c r="K26" s="57" t="n">
        <f aca="false">K21-K22-K23-K24</f>
        <v>208.222554653325</v>
      </c>
      <c r="L26" s="57" t="n">
        <f aca="false">L21-L22-L23-L24</f>
        <v>224.162001129069</v>
      </c>
      <c r="M26" s="57" t="n">
        <f aca="false">M21-M22-M23-M24</f>
        <v>240.525541231209</v>
      </c>
      <c r="N26" s="57" t="n">
        <f aca="false">N21-N22-N23-N24</f>
        <v>257.323272599185</v>
      </c>
      <c r="O26" s="57" t="n">
        <f aca="false">O21-O22-O23-O24</f>
        <v>274.5655202404</v>
      </c>
      <c r="P26" s="57" t="n">
        <f aca="false">P21-P22-P23-P24</f>
        <v>292.26284149162</v>
      </c>
      <c r="Q26" s="57" t="n">
        <f aca="false">Q21-Q22-Q23-Q24</f>
        <v>310.426031086656</v>
      </c>
      <c r="R26" s="57" t="n">
        <f aca="false">R21-R22-R23-R24</f>
        <v>329.066126332594</v>
      </c>
      <c r="S26" s="57" t="n">
        <f aca="false">S21-S22-S23-S24</f>
        <v>348.194412396839</v>
      </c>
      <c r="T26" s="57" t="n">
        <f aca="false">T21-T22-T23-T24</f>
        <v>367.822427707368</v>
      </c>
      <c r="U26" s="57" t="n">
        <f aca="false">U21-U22-U23-U24</f>
        <v>387.961969468555</v>
      </c>
      <c r="V26" s="57" t="n">
        <f aca="false">V21-V22-V23-V24</f>
        <v>408.625099295017</v>
      </c>
      <c r="W26" s="57" t="n">
        <f aca="false">W21-W22-W23-W24</f>
        <v>429.824148966009</v>
      </c>
      <c r="X26" s="57" t="n">
        <f aca="false">X21-X22-X23-X24</f>
        <v>451.571726302896</v>
      </c>
      <c r="Y26" s="57" t="n">
        <f aca="false">Y21-Y22-Y23-Y24</f>
        <v>473.880721172299</v>
      </c>
      <c r="Z26" s="57" t="n">
        <f aca="false">Z21-Z22-Z23-Z24</f>
        <v>496.764311617613</v>
      </c>
    </row>
    <row r="27" customFormat="false" ht="15" hidden="false" customHeight="false" outlineLevel="0" collapsed="false">
      <c r="B27" s="19" t="s">
        <v>189</v>
      </c>
      <c r="C27" s="57" t="n">
        <f aca="false">$C$6+C26</f>
        <v>3594.83391361231</v>
      </c>
      <c r="D27" s="57" t="n">
        <f aca="false">C27+D26</f>
        <v>3702.55231234655</v>
      </c>
      <c r="E27" s="57" t="n">
        <f aca="false">D27+E26</f>
        <v>3823.5061319604</v>
      </c>
      <c r="F27" s="57" t="n">
        <f aca="false">E27+F26</f>
        <v>3958.05475347087</v>
      </c>
      <c r="G27" s="57" t="n">
        <f aca="false">F27+G26</f>
        <v>4106.56619440195</v>
      </c>
      <c r="H27" s="57" t="n">
        <f aca="false">G27+H26</f>
        <v>4269.41730421905</v>
      </c>
      <c r="I27" s="57" t="n">
        <f aca="false">H27+I26</f>
        <v>4446.99396404012</v>
      </c>
      <c r="J27" s="57" t="n">
        <f aca="false">I27+J26</f>
        <v>4639.6912907153</v>
      </c>
      <c r="K27" s="57" t="n">
        <f aca="false">J27+K26</f>
        <v>4847.91384536863</v>
      </c>
      <c r="L27" s="57" t="n">
        <f aca="false">K27+L26</f>
        <v>5072.0758464977</v>
      </c>
      <c r="M27" s="57" t="n">
        <f aca="false">L27+M26</f>
        <v>5312.60138772891</v>
      </c>
      <c r="N27" s="57" t="n">
        <f aca="false">M27+N26</f>
        <v>5569.92466032809</v>
      </c>
      <c r="O27" s="57" t="n">
        <f aca="false">N27+O26</f>
        <v>5844.49018056849</v>
      </c>
      <c r="P27" s="57" t="n">
        <f aca="false">O27+P26</f>
        <v>6136.75302206011</v>
      </c>
      <c r="Q27" s="57" t="n">
        <f aca="false">P27+Q26</f>
        <v>6447.17905314677</v>
      </c>
      <c r="R27" s="57" t="n">
        <f aca="false">Q27+R26</f>
        <v>6776.24517947936</v>
      </c>
      <c r="S27" s="57" t="n">
        <f aca="false">R27+S26</f>
        <v>7124.4395918762</v>
      </c>
      <c r="T27" s="57" t="n">
        <f aca="false">S27+T26</f>
        <v>7492.26201958357</v>
      </c>
      <c r="U27" s="57" t="n">
        <f aca="false">T27+U26</f>
        <v>7880.22398905213</v>
      </c>
      <c r="V27" s="57" t="n">
        <f aca="false">U27+V26</f>
        <v>8288.84908834714</v>
      </c>
      <c r="W27" s="57" t="n">
        <f aca="false">V27+W26</f>
        <v>8718.67323731315</v>
      </c>
      <c r="X27" s="57" t="n">
        <f aca="false">W27+X26</f>
        <v>9170.24496361605</v>
      </c>
      <c r="Y27" s="57" t="n">
        <f aca="false">X27+Y26</f>
        <v>9644.12568478835</v>
      </c>
      <c r="Z27" s="57" t="n">
        <f aca="false">Y27+Z26</f>
        <v>10140.889996406</v>
      </c>
    </row>
    <row r="29" customFormat="false" ht="15" hidden="false" customHeight="false" outlineLevel="0" collapsed="false">
      <c r="B29" s="15" t="s">
        <v>190</v>
      </c>
      <c r="C29" s="55" t="n">
        <f aca="false">IF(AND($G$6=1,1=$G$8),$G$7,0)</f>
        <v>0</v>
      </c>
      <c r="D29" s="55" t="n">
        <f aca="false">IF(AND($G$6=1,2=$G$8),$G$7,0)</f>
        <v>0</v>
      </c>
      <c r="E29" s="55" t="n">
        <f aca="false">IF(AND($G$6=1,3=$G$8),$G$7,0)</f>
        <v>0</v>
      </c>
      <c r="F29" s="55" t="n">
        <f aca="false">IF(AND($G$6=1,4=$G$8),$G$7,0)</f>
        <v>0</v>
      </c>
      <c r="G29" s="55" t="n">
        <f aca="false">IF(AND($G$6=1,5=$G$8),$G$7,0)</f>
        <v>0</v>
      </c>
      <c r="H29" s="55" t="n">
        <f aca="false">IF(AND($G$6=1,6=$G$8),$G$7,0)</f>
        <v>0</v>
      </c>
      <c r="I29" s="55" t="n">
        <f aca="false">IF(AND($G$6=1,7=$G$8),$G$7,0)</f>
        <v>0</v>
      </c>
      <c r="J29" s="55" t="n">
        <f aca="false">IF(AND($G$6=1,8=$G$8),$G$7,0)</f>
        <v>0</v>
      </c>
      <c r="K29" s="55" t="n">
        <f aca="false">IF(AND($G$6=1,9=$G$8),$G$7,0)</f>
        <v>0</v>
      </c>
      <c r="L29" s="55" t="n">
        <f aca="false">IF(AND($G$6=1,10=$G$8),$G$7,0)</f>
        <v>0</v>
      </c>
      <c r="M29" s="55" t="n">
        <f aca="false">IF(AND($G$6=1,11=$G$8),$G$7,0)</f>
        <v>0</v>
      </c>
      <c r="N29" s="55" t="n">
        <f aca="false">IF(AND($G$6=1,12=$G$8),$G$7,0)</f>
        <v>0</v>
      </c>
      <c r="O29" s="55" t="n">
        <f aca="false">IF(AND($G$6=1,13=$G$8),$G$7,0)</f>
        <v>0</v>
      </c>
      <c r="P29" s="55" t="n">
        <f aca="false">IF(AND($G$6=1,14=$G$8),$G$7,0)</f>
        <v>0</v>
      </c>
      <c r="Q29" s="55" t="n">
        <f aca="false">IF(AND($G$6=1,15=$G$8),$G$7,0)</f>
        <v>0</v>
      </c>
      <c r="R29" s="55" t="n">
        <f aca="false">IF(AND($G$6=1,16=$G$8),$G$7,0)</f>
        <v>0</v>
      </c>
      <c r="S29" s="55" t="n">
        <f aca="false">IF(AND($G$6=1,17=$G$8),$G$7,0)</f>
        <v>0</v>
      </c>
      <c r="T29" s="55" t="n">
        <f aca="false">IF(AND($G$6=1,18=$G$8),$G$7,0)</f>
        <v>0</v>
      </c>
      <c r="U29" s="55" t="n">
        <f aca="false">IF(AND($G$6=1,19=$G$8),$G$7,0)</f>
        <v>0</v>
      </c>
      <c r="V29" s="55" t="n">
        <f aca="false">IF(AND($G$6=1,20=$G$8),$G$7,0)</f>
        <v>0</v>
      </c>
      <c r="W29" s="55" t="n">
        <f aca="false">IF(AND($G$6=1,21=$G$8),$G$7,0)</f>
        <v>0</v>
      </c>
      <c r="X29" s="55" t="n">
        <f aca="false">IF(AND($G$6=1,22=$G$8),$G$7,0)</f>
        <v>0</v>
      </c>
      <c r="Y29" s="55" t="n">
        <f aca="false">IF(AND($G$6=1,23=$G$8),$G$7,0)</f>
        <v>0</v>
      </c>
      <c r="Z29" s="55" t="n">
        <f aca="false">IF(AND($G$6=1,24=$G$8),$G$7,0)</f>
        <v>0</v>
      </c>
    </row>
    <row r="30" customFormat="false" ht="15" hidden="false" customHeight="false" outlineLevel="0" collapsed="false">
      <c r="B30" s="15" t="s">
        <v>191</v>
      </c>
      <c r="C30" s="55" t="n">
        <f aca="false">IF(AND($G$9=1,1=$G$11),$G$10,0)</f>
        <v>0</v>
      </c>
      <c r="D30" s="55" t="n">
        <f aca="false">IF(AND($G$9=1,2=$G$11),$G$10,0)</f>
        <v>0</v>
      </c>
      <c r="E30" s="55" t="n">
        <f aca="false">IF(AND($G$9=1,3=$G$11),$G$10,0)</f>
        <v>0</v>
      </c>
      <c r="F30" s="55" t="n">
        <f aca="false">IF(AND($G$9=1,4=$G$11),$G$10,0)</f>
        <v>0</v>
      </c>
      <c r="G30" s="55" t="n">
        <f aca="false">IF(AND($G$9=1,5=$G$11),$G$10,0)</f>
        <v>0</v>
      </c>
      <c r="H30" s="55" t="n">
        <f aca="false">IF(AND($G$9=1,6=$G$11),$G$10,0)</f>
        <v>0</v>
      </c>
      <c r="I30" s="55" t="n">
        <f aca="false">IF(AND($G$9=1,7=$G$11),$G$10,0)</f>
        <v>0</v>
      </c>
      <c r="J30" s="55" t="n">
        <f aca="false">IF(AND($G$9=1,8=$G$11),$G$10,0)</f>
        <v>0</v>
      </c>
      <c r="K30" s="55" t="n">
        <f aca="false">IF(AND($G$9=1,9=$G$11),$G$10,0)</f>
        <v>0</v>
      </c>
      <c r="L30" s="55" t="n">
        <f aca="false">IF(AND($G$9=1,10=$G$11),$G$10,0)</f>
        <v>0</v>
      </c>
      <c r="M30" s="55" t="n">
        <f aca="false">IF(AND($G$9=1,11=$G$11),$G$10,0)</f>
        <v>0</v>
      </c>
      <c r="N30" s="55" t="n">
        <f aca="false">IF(AND($G$9=1,12=$G$11),$G$10,0)</f>
        <v>0</v>
      </c>
      <c r="O30" s="55" t="n">
        <f aca="false">IF(AND($G$9=1,13=$G$11),$G$10,0)</f>
        <v>0</v>
      </c>
      <c r="P30" s="55" t="n">
        <f aca="false">IF(AND($G$9=1,14=$G$11),$G$10,0)</f>
        <v>0</v>
      </c>
      <c r="Q30" s="55" t="n">
        <f aca="false">IF(AND($G$9=1,15=$G$11),$G$10,0)</f>
        <v>0</v>
      </c>
      <c r="R30" s="55" t="n">
        <f aca="false">IF(AND($G$9=1,16=$G$11),$G$10,0)</f>
        <v>0</v>
      </c>
      <c r="S30" s="55" t="n">
        <f aca="false">IF(AND($G$9=1,17=$G$11),$G$10,0)</f>
        <v>0</v>
      </c>
      <c r="T30" s="55" t="n">
        <f aca="false">IF(AND($G$9=1,18=$G$11),$G$10,0)</f>
        <v>0</v>
      </c>
      <c r="U30" s="55" t="n">
        <f aca="false">IF(AND($G$9=1,19=$G$11),$G$10,0)</f>
        <v>0</v>
      </c>
      <c r="V30" s="55" t="n">
        <f aca="false">IF(AND($G$9=1,20=$G$11),$G$10,0)</f>
        <v>0</v>
      </c>
      <c r="W30" s="55" t="n">
        <f aca="false">IF(AND($G$9=1,21=$G$11),$G$10,0)</f>
        <v>0</v>
      </c>
      <c r="X30" s="55" t="n">
        <f aca="false">IF(AND($G$9=1,22=$G$11),$G$10,0)</f>
        <v>0</v>
      </c>
      <c r="Y30" s="55" t="n">
        <f aca="false">IF(AND($G$9=1,23=$G$11),$G$10,0)</f>
        <v>0</v>
      </c>
      <c r="Z30" s="55" t="n">
        <f aca="false">IF(AND($G$9=1,24=$G$11),$G$10,0)</f>
        <v>0</v>
      </c>
    </row>
    <row r="31" customFormat="false" ht="15" hidden="false" customHeight="false" outlineLevel="0" collapsed="false">
      <c r="B31" s="19" t="s">
        <v>192</v>
      </c>
      <c r="C31" s="56" t="n">
        <f aca="false">C26-C25+C29+C30</f>
        <v>94.8339136123104</v>
      </c>
      <c r="D31" s="56" t="n">
        <f aca="false">D26-D25+D29+D30</f>
        <v>107.718398734244</v>
      </c>
      <c r="E31" s="56" t="n">
        <f aca="false">E26-E25+E29+E30</f>
        <v>120.953819613848</v>
      </c>
      <c r="F31" s="56" t="n">
        <f aca="false">F26-F25+F29+F30</f>
        <v>134.548621510469</v>
      </c>
      <c r="G31" s="56" t="n">
        <f aca="false">G26-G25+G29+G30</f>
        <v>148.511440931078</v>
      </c>
      <c r="H31" s="56" t="n">
        <f aca="false">H26-H25+H29+H30</f>
        <v>162.851109817096</v>
      </c>
      <c r="I31" s="56" t="n">
        <f aca="false">I26-I25+I29+I30</f>
        <v>177.576659821078</v>
      </c>
      <c r="J31" s="56" t="n">
        <f aca="false">J26-J25+J29+J30</f>
        <v>192.697326675181</v>
      </c>
      <c r="K31" s="56" t="n">
        <f aca="false">K26-K25+K29+K30</f>
        <v>208.222554653325</v>
      </c>
      <c r="L31" s="56" t="n">
        <f aca="false">L26-L25+L29+L30</f>
        <v>224.162001129069</v>
      </c>
      <c r="M31" s="56" t="n">
        <f aca="false">M26-M25+M29+M30</f>
        <v>240.525541231209</v>
      </c>
      <c r="N31" s="56" t="n">
        <f aca="false">N26-N25+N29+N30</f>
        <v>257.323272599185</v>
      </c>
      <c r="O31" s="56" t="n">
        <f aca="false">O26-O25+O29+O30</f>
        <v>274.5655202404</v>
      </c>
      <c r="P31" s="56" t="n">
        <f aca="false">P26-P25+P29+P30</f>
        <v>292.26284149162</v>
      </c>
      <c r="Q31" s="56" t="n">
        <f aca="false">Q26-Q25+Q29+Q30</f>
        <v>310.426031086656</v>
      </c>
      <c r="R31" s="56" t="n">
        <f aca="false">R26-R25+R29+R30</f>
        <v>329.066126332594</v>
      </c>
      <c r="S31" s="56" t="n">
        <f aca="false">S26-S25+S29+S30</f>
        <v>348.194412396839</v>
      </c>
      <c r="T31" s="56" t="n">
        <f aca="false">T26-T25+T29+T30</f>
        <v>367.822427707368</v>
      </c>
      <c r="U31" s="56" t="n">
        <f aca="false">U26-U25+U29+U30</f>
        <v>387.961969468555</v>
      </c>
      <c r="V31" s="56" t="n">
        <f aca="false">V26-V25+V29+V30</f>
        <v>408.625099295017</v>
      </c>
      <c r="W31" s="56" t="n">
        <f aca="false">W26-W25+W29+W30</f>
        <v>429.824148966009</v>
      </c>
      <c r="X31" s="56" t="n">
        <f aca="false">X26-X25+X29+X30</f>
        <v>451.571726302896</v>
      </c>
      <c r="Y31" s="56" t="n">
        <f aca="false">Y26-Y25+Y29+Y30</f>
        <v>473.880721172299</v>
      </c>
      <c r="Z31" s="56" t="n">
        <f aca="false">Z26-Z25+Z29+Z30</f>
        <v>496.764311617613</v>
      </c>
    </row>
    <row r="32" customFormat="false" ht="15" hidden="false" customHeight="false" outlineLevel="0" collapsed="false">
      <c r="B32" s="19" t="s">
        <v>193</v>
      </c>
      <c r="C32" s="77" t="n">
        <f aca="false">$C$6+C31</f>
        <v>3594.83391361231</v>
      </c>
      <c r="D32" s="77" t="n">
        <f aca="false">C32+D31</f>
        <v>3702.55231234655</v>
      </c>
      <c r="E32" s="77" t="n">
        <f aca="false">D32+E31</f>
        <v>3823.5061319604</v>
      </c>
      <c r="F32" s="77" t="n">
        <f aca="false">E32+F31</f>
        <v>3958.05475347087</v>
      </c>
      <c r="G32" s="77" t="n">
        <f aca="false">F32+G31</f>
        <v>4106.56619440195</v>
      </c>
      <c r="H32" s="77" t="n">
        <f aca="false">G32+H31</f>
        <v>4269.41730421905</v>
      </c>
      <c r="I32" s="77" t="n">
        <f aca="false">H32+I31</f>
        <v>4446.99396404012</v>
      </c>
      <c r="J32" s="77" t="n">
        <f aca="false">I32+J31</f>
        <v>4639.6912907153</v>
      </c>
      <c r="K32" s="77" t="n">
        <f aca="false">J32+K31</f>
        <v>4847.91384536863</v>
      </c>
      <c r="L32" s="77" t="n">
        <f aca="false">K32+L31</f>
        <v>5072.0758464977</v>
      </c>
      <c r="M32" s="77" t="n">
        <f aca="false">L32+M31</f>
        <v>5312.60138772891</v>
      </c>
      <c r="N32" s="77" t="n">
        <f aca="false">M32+N31</f>
        <v>5569.92466032809</v>
      </c>
      <c r="O32" s="77" t="n">
        <f aca="false">N32+O31</f>
        <v>5844.49018056849</v>
      </c>
      <c r="P32" s="77" t="n">
        <f aca="false">O32+P31</f>
        <v>6136.75302206011</v>
      </c>
      <c r="Q32" s="77" t="n">
        <f aca="false">P32+Q31</f>
        <v>6447.17905314677</v>
      </c>
      <c r="R32" s="77" t="n">
        <f aca="false">Q32+R31</f>
        <v>6776.24517947936</v>
      </c>
      <c r="S32" s="77" t="n">
        <f aca="false">R32+S31</f>
        <v>7124.4395918762</v>
      </c>
      <c r="T32" s="77" t="n">
        <f aca="false">S32+T31</f>
        <v>7492.26201958357</v>
      </c>
      <c r="U32" s="77" t="n">
        <f aca="false">T32+U31</f>
        <v>7880.22398905213</v>
      </c>
      <c r="V32" s="77" t="n">
        <f aca="false">U32+V31</f>
        <v>8288.84908834714</v>
      </c>
      <c r="W32" s="77" t="n">
        <f aca="false">V32+W31</f>
        <v>8718.67323731315</v>
      </c>
      <c r="X32" s="77" t="n">
        <f aca="false">W32+X31</f>
        <v>9170.24496361605</v>
      </c>
      <c r="Y32" s="77" t="n">
        <f aca="false">X32+Y31</f>
        <v>9644.12568478835</v>
      </c>
      <c r="Z32" s="77" t="n">
        <f aca="false">Y32+Z31</f>
        <v>10140.889996406</v>
      </c>
    </row>
    <row r="33" customFormat="false" ht="15" hidden="false" customHeight="false" outlineLevel="0" collapsed="false">
      <c r="B33" s="15" t="s">
        <v>194</v>
      </c>
      <c r="C33" s="78" t="n">
        <f aca="false">IF(C27&lt;$C$11,1,0)</f>
        <v>0</v>
      </c>
      <c r="D33" s="78" t="n">
        <f aca="false">IF(D27&lt;$C$11,1,0)</f>
        <v>0</v>
      </c>
      <c r="E33" s="78" t="n">
        <f aca="false">IF(E27&lt;$C$11,1,0)</f>
        <v>0</v>
      </c>
      <c r="F33" s="78" t="n">
        <f aca="false">IF(F27&lt;$C$11,1,0)</f>
        <v>0</v>
      </c>
      <c r="G33" s="78" t="n">
        <f aca="false">IF(G27&lt;$C$11,1,0)</f>
        <v>0</v>
      </c>
      <c r="H33" s="78" t="n">
        <f aca="false">IF(H27&lt;$C$11,1,0)</f>
        <v>0</v>
      </c>
      <c r="I33" s="78" t="n">
        <f aca="false">IF(I27&lt;$C$11,1,0)</f>
        <v>0</v>
      </c>
      <c r="J33" s="78" t="n">
        <f aca="false">IF(J27&lt;$C$11,1,0)</f>
        <v>0</v>
      </c>
      <c r="K33" s="78" t="n">
        <f aca="false">IF(K27&lt;$C$11,1,0)</f>
        <v>0</v>
      </c>
      <c r="L33" s="78" t="n">
        <f aca="false">IF(L27&lt;$C$11,1,0)</f>
        <v>0</v>
      </c>
      <c r="M33" s="78" t="n">
        <f aca="false">IF(M27&lt;$C$11,1,0)</f>
        <v>0</v>
      </c>
      <c r="N33" s="78" t="n">
        <f aca="false">IF(N27&lt;$C$11,1,0)</f>
        <v>0</v>
      </c>
      <c r="O33" s="78" t="n">
        <f aca="false">IF(O27&lt;$C$11,1,0)</f>
        <v>0</v>
      </c>
      <c r="P33" s="78" t="n">
        <f aca="false">IF(P27&lt;$C$11,1,0)</f>
        <v>0</v>
      </c>
      <c r="Q33" s="78" t="n">
        <f aca="false">IF(Q27&lt;$C$11,1,0)</f>
        <v>0</v>
      </c>
      <c r="R33" s="78" t="n">
        <f aca="false">IF(R27&lt;$C$11,1,0)</f>
        <v>0</v>
      </c>
      <c r="S33" s="78" t="n">
        <f aca="false">IF(S27&lt;$C$11,1,0)</f>
        <v>0</v>
      </c>
      <c r="T33" s="78" t="n">
        <f aca="false">IF(T27&lt;$C$11,1,0)</f>
        <v>0</v>
      </c>
      <c r="U33" s="78" t="n">
        <f aca="false">IF(U27&lt;$C$11,1,0)</f>
        <v>0</v>
      </c>
      <c r="V33" s="78" t="n">
        <f aca="false">IF(V27&lt;$C$11,1,0)</f>
        <v>0</v>
      </c>
      <c r="W33" s="78" t="n">
        <f aca="false">IF(W27&lt;$C$11,1,0)</f>
        <v>0</v>
      </c>
      <c r="X33" s="78" t="n">
        <f aca="false">IF(X27&lt;$C$11,1,0)</f>
        <v>0</v>
      </c>
      <c r="Y33" s="78" t="n">
        <f aca="false">IF(Y27&lt;$C$11,1,0)</f>
        <v>0</v>
      </c>
      <c r="Z33" s="78" t="n">
        <f aca="false">IF(Z27&lt;$C$11,1,0)</f>
        <v>0</v>
      </c>
    </row>
    <row r="34" customFormat="false" ht="15" hidden="false" customHeight="false" outlineLevel="0" collapsed="false">
      <c r="B34" s="29" t="s">
        <v>195</v>
      </c>
      <c r="C34" s="30"/>
      <c r="D34" s="30"/>
    </row>
    <row r="35" customFormat="false" ht="15" hidden="false" customHeight="false" outlineLevel="0" collapsed="false">
      <c r="B35" s="79" t="s">
        <v>196</v>
      </c>
      <c r="C35" s="80" t="str">
        <f aca="false">IFERROR(MATCH(1,C33:Z33,0),"Beyond 24 mo")</f>
        <v>Beyond 24 mo</v>
      </c>
    </row>
    <row r="36" customFormat="false" ht="15" hidden="false" customHeight="false" outlineLevel="0" collapsed="false">
      <c r="B36" s="15" t="s">
        <v>197</v>
      </c>
      <c r="C36" s="37" t="str">
        <f aca="false">IF(ISNUMBER(C35),C35-1,"24+")</f>
        <v>24+</v>
      </c>
    </row>
    <row r="37" customFormat="false" ht="15" hidden="false" customHeight="false" outlineLevel="0" collapsed="false">
      <c r="B37" s="79" t="s">
        <v>198</v>
      </c>
      <c r="C37" s="80" t="str">
        <f aca="false">IF(ISNUMBER(C35),MAX(0,C35-$C$12),"—")</f>
        <v>—</v>
      </c>
    </row>
    <row r="38" customFormat="false" ht="15" hidden="false" customHeight="false" outlineLevel="0" collapsed="false">
      <c r="B38" s="79" t="s">
        <v>199</v>
      </c>
      <c r="C38" s="81" t="n">
        <f aca="false">MAX(0,$C$11-MIN(C27:Z27))</f>
        <v>0</v>
      </c>
    </row>
    <row r="39" customFormat="false" ht="15" hidden="false" customHeight="false" outlineLevel="0" collapsed="false">
      <c r="B39" s="15" t="s">
        <v>200</v>
      </c>
      <c r="C39" s="17" t="n">
        <f aca="false">MIN(C27:Z27)</f>
        <v>3594.83391361231</v>
      </c>
    </row>
    <row r="40" customFormat="false" ht="15" hidden="false" customHeight="false" outlineLevel="0" collapsed="false">
      <c r="B40" s="15" t="s">
        <v>201</v>
      </c>
      <c r="C40" s="17" t="n">
        <f aca="false">Z32</f>
        <v>10140.889996406</v>
      </c>
    </row>
    <row r="41" customFormat="false" ht="15" hidden="false" customHeight="false" outlineLevel="0" collapsed="false">
      <c r="B41" s="15" t="s">
        <v>202</v>
      </c>
      <c r="C41" s="17" t="n">
        <f aca="false">MIN(C32:Z32)</f>
        <v>3594.83391361231</v>
      </c>
    </row>
    <row r="43" customFormat="false" ht="15" hidden="false" customHeight="false" outlineLevel="0" collapsed="false">
      <c r="B43" s="74" t="s">
        <v>203</v>
      </c>
    </row>
    <row r="44" customFormat="false" ht="42" hidden="false" customHeight="true" outlineLevel="0" collapsed="false">
      <c r="B44" s="82" t="str">
        <f aca="false">"With current toggles: "&amp;IF(ISNUMBER(C35),"cash falls below the $"&amp;TEXT($C$11,"#,##0")&amp;"K floor in month "&amp;C35&amp;" — target a Series B close by month "&amp;C37&amp;" and raise at least $"&amp;TEXT(ROUNDUP(C38/1000,1),"0.0")&amp;"M.","operations stay above the floor for 24+ months. Toggle the expansion regions ON in the Regions tab to model the growth case that requires a Series B.")</f>
        <v>With current toggles: operations stay above the floor for 24+ months. Toggle the expansion regions ON in the Regions tab to model the growth case that requires a Series B.</v>
      </c>
      <c r="C44" s="82"/>
      <c r="D44" s="82"/>
      <c r="E44" s="82"/>
      <c r="F44" s="82"/>
      <c r="G44" s="82"/>
      <c r="H44" s="82"/>
      <c r="I44" s="82"/>
      <c r="J44" s="82"/>
      <c r="K44" s="82"/>
      <c r="L44" s="82"/>
    </row>
    <row r="46" customFormat="false" ht="15" hidden="false" customHeight="false" outlineLevel="0" collapsed="false">
      <c r="B46" s="5" t="s">
        <v>204</v>
      </c>
    </row>
    <row r="47" customFormat="false" ht="15" hidden="false" customHeight="true" outlineLevel="0" collapsed="false">
      <c r="B47" s="83" t="s">
        <v>205</v>
      </c>
      <c r="C47" s="83"/>
      <c r="D47" s="83"/>
      <c r="E47" s="83"/>
      <c r="F47" s="83"/>
      <c r="G47" s="83"/>
      <c r="H47" s="83"/>
      <c r="I47" s="83"/>
      <c r="J47" s="83"/>
      <c r="K47" s="83"/>
      <c r="L47" s="83"/>
    </row>
    <row r="48" customFormat="false" ht="15" hidden="false" customHeight="true" outlineLevel="0" collapsed="false">
      <c r="B48" s="83" t="s">
        <v>206</v>
      </c>
      <c r="C48" s="83"/>
      <c r="D48" s="83"/>
      <c r="E48" s="83"/>
      <c r="F48" s="83"/>
      <c r="G48" s="83"/>
      <c r="H48" s="83"/>
      <c r="I48" s="83"/>
      <c r="J48" s="83"/>
      <c r="K48" s="83"/>
      <c r="L48" s="83"/>
    </row>
    <row r="49" customFormat="false" ht="23.85" hidden="false" customHeight="true" outlineLevel="0" collapsed="false">
      <c r="B49" s="83" t="s">
        <v>207</v>
      </c>
      <c r="C49" s="83"/>
      <c r="D49" s="83"/>
      <c r="E49" s="83"/>
      <c r="F49" s="83"/>
      <c r="G49" s="83"/>
      <c r="H49" s="83"/>
      <c r="I49" s="83"/>
      <c r="J49" s="83"/>
      <c r="K49" s="83"/>
      <c r="L49" s="83"/>
    </row>
    <row r="50" customFormat="false" ht="15" hidden="false" customHeight="true" outlineLevel="0" collapsed="false">
      <c r="B50" s="83" t="s">
        <v>208</v>
      </c>
      <c r="C50" s="83"/>
      <c r="D50" s="83"/>
      <c r="E50" s="83"/>
      <c r="F50" s="83"/>
      <c r="G50" s="83"/>
      <c r="H50" s="83"/>
      <c r="I50" s="83"/>
      <c r="J50" s="83"/>
      <c r="K50" s="83"/>
      <c r="L50" s="83"/>
    </row>
  </sheetData>
  <mergeCells count="6">
    <mergeCell ref="B2:L2"/>
    <mergeCell ref="B44:L44"/>
    <mergeCell ref="B47:L47"/>
    <mergeCell ref="B48:L48"/>
    <mergeCell ref="B49:L49"/>
    <mergeCell ref="B50:L5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104"/>
    <col collapsed="false" customWidth="true" hidden="false" outlineLevel="0" max="3" min="3" style="1" width="3"/>
  </cols>
  <sheetData>
    <row r="2" customFormat="false" ht="17.35" hidden="false" customHeight="false" outlineLevel="0" collapsed="false">
      <c r="B2" s="84" t="s">
        <v>209</v>
      </c>
    </row>
    <row r="3" customFormat="false" ht="15" hidden="false" customHeight="false" outlineLevel="0" collapsed="false">
      <c r="B3" s="10" t="s">
        <v>210</v>
      </c>
    </row>
    <row r="5" customFormat="false" ht="15" hidden="false" customHeight="false" outlineLevel="0" collapsed="false">
      <c r="B5" s="74" t="s">
        <v>211</v>
      </c>
    </row>
    <row r="6" customFormat="false" ht="77.25" hidden="false" customHeight="true" outlineLevel="0" collapsed="false">
      <c r="B6" s="85" t="s">
        <v>212</v>
      </c>
    </row>
    <row r="8" customFormat="false" ht="15" hidden="false" customHeight="false" outlineLevel="0" collapsed="false">
      <c r="B8" s="74" t="s">
        <v>213</v>
      </c>
    </row>
    <row r="9" customFormat="false" ht="93" hidden="false" customHeight="true" outlineLevel="0" collapsed="false">
      <c r="B9" s="85" t="s">
        <v>214</v>
      </c>
    </row>
    <row r="11" customFormat="false" ht="15" hidden="false" customHeight="false" outlineLevel="0" collapsed="false">
      <c r="B11" s="74" t="s">
        <v>215</v>
      </c>
    </row>
    <row r="12" customFormat="false" ht="93" hidden="false" customHeight="true" outlineLevel="0" collapsed="false">
      <c r="B12" s="85" t="s">
        <v>216</v>
      </c>
    </row>
    <row r="14" customFormat="false" ht="15" hidden="false" customHeight="false" outlineLevel="0" collapsed="false">
      <c r="B14" s="74" t="s">
        <v>217</v>
      </c>
    </row>
    <row r="15" customFormat="false" ht="61.5" hidden="false" customHeight="true" outlineLevel="0" collapsed="false">
      <c r="B15" s="85" t="s">
        <v>218</v>
      </c>
    </row>
    <row r="17" customFormat="false" ht="15" hidden="false" customHeight="false" outlineLevel="0" collapsed="false">
      <c r="B17" s="74" t="s">
        <v>219</v>
      </c>
    </row>
    <row r="18" customFormat="false" ht="61.5" hidden="false" customHeight="true" outlineLevel="0" collapsed="false">
      <c r="B18" s="85" t="s">
        <v>220</v>
      </c>
    </row>
    <row r="20" customFormat="false" ht="15" hidden="false" customHeight="false" outlineLevel="0" collapsed="false">
      <c r="B20" s="74" t="s">
        <v>221</v>
      </c>
    </row>
    <row r="21" customFormat="false" ht="93" hidden="false" customHeight="true" outlineLevel="0" collapsed="false">
      <c r="B21" s="85" t="s">
        <v>222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2026-06-15T04:04:03Z</dcterms:created>
  <dc:creator>openpyxl</dc:creator>
  <dc:description/>
  <dc:language>en-US</dc:language>
  <cp:lastModifiedBy/>
  <dcterms:modified xsi:type="dcterms:W3CDTF">2026-06-15T04:04:06Z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